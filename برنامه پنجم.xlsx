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WebProjects\LaravelProject\Allocation Bank\"/>
    </mc:Choice>
  </mc:AlternateContent>
  <xr:revisionPtr revIDLastSave="0" documentId="13_ncr:1_{7DA125A1-EB32-450C-9A95-B3D27499E22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1" l="1"/>
  <c r="W37" i="1"/>
  <c r="W42" i="1"/>
  <c r="W93" i="1"/>
  <c r="W88" i="1"/>
  <c r="W71" i="1"/>
  <c r="W77" i="1"/>
  <c r="W91" i="1"/>
  <c r="W96" i="1"/>
  <c r="W98" i="1"/>
  <c r="W85" i="1"/>
  <c r="W82" i="1"/>
  <c r="W76" i="1"/>
  <c r="W74" i="1"/>
  <c r="W68" i="1"/>
  <c r="W66" i="1"/>
  <c r="W65" i="1"/>
  <c r="W64" i="1"/>
  <c r="W62" i="1"/>
  <c r="W61" i="1"/>
  <c r="W54" i="1"/>
  <c r="W51" i="1"/>
  <c r="W73" i="1" s="1"/>
  <c r="W84" i="1" s="1"/>
  <c r="W49" i="1"/>
  <c r="W48" i="1"/>
  <c r="W46" i="1"/>
  <c r="W45" i="1"/>
  <c r="W44" i="1"/>
  <c r="W43" i="1"/>
  <c r="W40" i="1"/>
  <c r="W38" i="1"/>
  <c r="W36" i="1"/>
  <c r="W35" i="1"/>
  <c r="W31" i="1"/>
  <c r="W30" i="1"/>
  <c r="W29" i="1"/>
  <c r="W28" i="1"/>
  <c r="W27" i="1"/>
  <c r="W24" i="1"/>
  <c r="W23" i="1"/>
  <c r="W22" i="1"/>
  <c r="W21" i="1"/>
  <c r="W20" i="1"/>
  <c r="W18" i="1"/>
  <c r="W17" i="1"/>
  <c r="W16" i="1"/>
  <c r="W13" i="1"/>
  <c r="W12" i="1"/>
  <c r="W11" i="1"/>
  <c r="W10" i="1"/>
  <c r="W9" i="1"/>
  <c r="W8" i="1"/>
  <c r="W6" i="1"/>
  <c r="W5" i="1"/>
  <c r="W4" i="1"/>
  <c r="W53" i="1" s="1"/>
  <c r="W55" i="1" s="1"/>
  <c r="W3" i="1"/>
  <c r="W2" i="1"/>
  <c r="W56" i="1" l="1"/>
  <c r="W69" i="1"/>
  <c r="W15" i="1"/>
  <c r="W94" i="1"/>
  <c r="W41" i="1"/>
  <c r="W57" i="1"/>
  <c r="W50" i="1"/>
  <c r="W47" i="1"/>
  <c r="W7" i="1"/>
  <c r="W14" i="1"/>
  <c r="W52" i="1" l="1"/>
  <c r="W58" i="1"/>
  <c r="W19" i="1"/>
  <c r="W60" i="1" l="1"/>
  <c r="W25" i="1"/>
  <c r="W59" i="1"/>
  <c r="W63" i="1" l="1"/>
  <c r="W32" i="1"/>
  <c r="W92" i="1"/>
  <c r="W95" i="1"/>
  <c r="W34" i="1" l="1"/>
  <c r="W33" i="1"/>
  <c r="W67" i="1"/>
  <c r="W70" i="1" l="1"/>
  <c r="W75" i="1" l="1"/>
  <c r="W78" i="1" l="1"/>
  <c r="W79" i="1" l="1"/>
  <c r="W80" i="1" l="1"/>
  <c r="W81" i="1" s="1"/>
  <c r="W83" i="1" s="1"/>
  <c r="W86" i="1" s="1"/>
  <c r="W89" i="1" l="1"/>
  <c r="W90" i="1" l="1"/>
  <c r="W97" i="1"/>
</calcChain>
</file>

<file path=xl/sharedStrings.xml><?xml version="1.0" encoding="utf-8"?>
<sst xmlns="http://schemas.openxmlformats.org/spreadsheetml/2006/main" count="1473" uniqueCount="502">
  <si>
    <t>kelace</t>
  </si>
  <si>
    <t>motaghasi</t>
  </si>
  <si>
    <t>darkhast</t>
  </si>
  <si>
    <t>masraf</t>
  </si>
  <si>
    <t>Masraf_group</t>
  </si>
  <si>
    <t>nobat</t>
  </si>
  <si>
    <t>comete</t>
  </si>
  <si>
    <t>shomare</t>
  </si>
  <si>
    <t>date-shimare</t>
  </si>
  <si>
    <t>vahed</t>
  </si>
  <si>
    <t>q_m</t>
  </si>
  <si>
    <t>t_mosavvab</t>
  </si>
  <si>
    <t>sum</t>
  </si>
  <si>
    <t>baghi</t>
  </si>
  <si>
    <t>mosavabat</t>
  </si>
  <si>
    <t>چاشم</t>
  </si>
  <si>
    <t>1013-7069</t>
  </si>
  <si>
    <t>کشت وصنعت چاشم</t>
  </si>
  <si>
    <t>حفر چاه</t>
  </si>
  <si>
    <t>صنعت</t>
  </si>
  <si>
    <t>دامداری</t>
  </si>
  <si>
    <t>دام وطیور</t>
  </si>
  <si>
    <t>اول</t>
  </si>
  <si>
    <t>90/1/26</t>
  </si>
  <si>
    <t>571/210</t>
  </si>
  <si>
    <t>90/4/7</t>
  </si>
  <si>
    <t>متر مکعب</t>
  </si>
  <si>
    <t>25</t>
  </si>
  <si>
    <t>موافقت شد</t>
  </si>
  <si>
    <t>لاهورد</t>
  </si>
  <si>
    <t>1013-7080</t>
  </si>
  <si>
    <t>قرار گاه خاتم</t>
  </si>
  <si>
    <t>راهسازی</t>
  </si>
  <si>
    <t>خدمات</t>
  </si>
  <si>
    <t>90/3/9</t>
  </si>
  <si>
    <t>1359/210</t>
  </si>
  <si>
    <t>90/3/22</t>
  </si>
  <si>
    <t>15</t>
  </si>
  <si>
    <t>فولاد محله</t>
  </si>
  <si>
    <t>1013-7077</t>
  </si>
  <si>
    <t>شرکت دانش بنیان</t>
  </si>
  <si>
    <t>مرغداری</t>
  </si>
  <si>
    <t>90/4/4</t>
  </si>
  <si>
    <t>1745/210</t>
  </si>
  <si>
    <t>90/4/6</t>
  </si>
  <si>
    <t>10</t>
  </si>
  <si>
    <t>برنامه چهارم</t>
  </si>
  <si>
    <t>ترود</t>
  </si>
  <si>
    <t>1013-1562</t>
  </si>
  <si>
    <t>آب وفاضلاب روستائی</t>
  </si>
  <si>
    <t>شرب</t>
  </si>
  <si>
    <t>شرب روستا</t>
  </si>
  <si>
    <t>شرب و بهداشت</t>
  </si>
  <si>
    <t>90/11/18</t>
  </si>
  <si>
    <t>6068/210</t>
  </si>
  <si>
    <t>90/11/30</t>
  </si>
  <si>
    <t>1013-6960</t>
  </si>
  <si>
    <t>سید قهار نبوی چاشمی</t>
  </si>
  <si>
    <t>کشاورزی</t>
  </si>
  <si>
    <t>6071/210</t>
  </si>
  <si>
    <t>30</t>
  </si>
  <si>
    <t>1013-7079</t>
  </si>
  <si>
    <t>علی صفائیان</t>
  </si>
  <si>
    <t>91/8/15</t>
  </si>
  <si>
    <t>5611/210</t>
  </si>
  <si>
    <t>91/9/7</t>
  </si>
  <si>
    <t>50</t>
  </si>
  <si>
    <t>مومن آباد</t>
  </si>
  <si>
    <t>1013-ف4821</t>
  </si>
  <si>
    <t>محمد علی نصیری</t>
  </si>
  <si>
    <t>انشعاب</t>
  </si>
  <si>
    <t>پرورش اسب</t>
  </si>
  <si>
    <t>90/4/13</t>
  </si>
  <si>
    <t>2230/210</t>
  </si>
  <si>
    <t>90/5/2</t>
  </si>
  <si>
    <t>3.5</t>
  </si>
  <si>
    <t>حسن آباد</t>
  </si>
  <si>
    <t>غلامرضا عرب حسن آبادی</t>
  </si>
  <si>
    <t>90/4/3</t>
  </si>
  <si>
    <t>2229/210</t>
  </si>
  <si>
    <t>2</t>
  </si>
  <si>
    <t>جاشم لوبار</t>
  </si>
  <si>
    <t>1013-7071</t>
  </si>
  <si>
    <t>محبوبه ملک احمدی</t>
  </si>
  <si>
    <t>2570/210</t>
  </si>
  <si>
    <t>90/5/18</t>
  </si>
  <si>
    <t>3</t>
  </si>
  <si>
    <t>توچال</t>
  </si>
  <si>
    <t>1013-7110</t>
  </si>
  <si>
    <t>90/7/4</t>
  </si>
  <si>
    <t>3489/210</t>
  </si>
  <si>
    <t>90/7/11</t>
  </si>
  <si>
    <t>لیتر برثانیه</t>
  </si>
  <si>
    <t>1</t>
  </si>
  <si>
    <t>فرومد</t>
  </si>
  <si>
    <t>1013-5129</t>
  </si>
  <si>
    <t>3490/210</t>
  </si>
  <si>
    <t>4</t>
  </si>
  <si>
    <t>sal</t>
  </si>
  <si>
    <t>erja</t>
  </si>
  <si>
    <t>code</t>
  </si>
  <si>
    <t>mantaghe</t>
  </si>
  <si>
    <t>مهدیشهر</t>
  </si>
  <si>
    <t>90/1/16</t>
  </si>
  <si>
    <t>محدوده</t>
  </si>
  <si>
    <t>گرمسار</t>
  </si>
  <si>
    <t>ممنوعه</t>
  </si>
  <si>
    <t>90/3/28</t>
  </si>
  <si>
    <t>شاهرود</t>
  </si>
  <si>
    <t>90/10/13</t>
  </si>
  <si>
    <t>90/3/8</t>
  </si>
  <si>
    <t>سمنان</t>
  </si>
  <si>
    <t>shahrestan</t>
  </si>
  <si>
    <t>abadi</t>
  </si>
  <si>
    <t>takhsis_group</t>
  </si>
  <si>
    <t>v_m</t>
  </si>
  <si>
    <t>1013-4821</t>
  </si>
  <si>
    <t>row</t>
  </si>
  <si>
    <t>90/2/12</t>
  </si>
  <si>
    <t>90/5/25</t>
  </si>
  <si>
    <t>90/6/1</t>
  </si>
  <si>
    <t>90/3/31</t>
  </si>
  <si>
    <t>صحرای جلالی</t>
  </si>
  <si>
    <t>1013-7065</t>
  </si>
  <si>
    <t>امور آب وفاضلاب شهری</t>
  </si>
  <si>
    <t>شرب شهر</t>
  </si>
  <si>
    <t>3756/210</t>
  </si>
  <si>
    <t>90/7/23</t>
  </si>
  <si>
    <t>274</t>
  </si>
  <si>
    <t>90/6/19</t>
  </si>
  <si>
    <t>1013-7099</t>
  </si>
  <si>
    <t>حسین عمادی</t>
  </si>
  <si>
    <t>90/8/19</t>
  </si>
  <si>
    <t>3759/210</t>
  </si>
  <si>
    <t>آسوران</t>
  </si>
  <si>
    <t>1013-2256</t>
  </si>
  <si>
    <t>حسین صبوحی</t>
  </si>
  <si>
    <t>باغچه</t>
  </si>
  <si>
    <t>90/7/19</t>
  </si>
  <si>
    <t>3762/210</t>
  </si>
  <si>
    <t>91/6/17</t>
  </si>
  <si>
    <t>خرقان</t>
  </si>
  <si>
    <t>شرکت شهرکهای صنعتی</t>
  </si>
  <si>
    <t>4888/210</t>
  </si>
  <si>
    <t>91/7/30</t>
  </si>
  <si>
    <t>1.34</t>
  </si>
  <si>
    <t>90/7/18</t>
  </si>
  <si>
    <t>لرد</t>
  </si>
  <si>
    <t>1013-7133</t>
  </si>
  <si>
    <t>شرکت آب وفاضلاب روستائی</t>
  </si>
  <si>
    <t>90/8/17</t>
  </si>
  <si>
    <t>4321/210</t>
  </si>
  <si>
    <t>90/8/025</t>
  </si>
  <si>
    <t>میامی</t>
  </si>
  <si>
    <t>90/7/28</t>
  </si>
  <si>
    <t>دشت شاد</t>
  </si>
  <si>
    <t>1013-7107</t>
  </si>
  <si>
    <t>4320/210</t>
  </si>
  <si>
    <t>90/8/25</t>
  </si>
  <si>
    <t>90/8/8</t>
  </si>
  <si>
    <t>روانه</t>
  </si>
  <si>
    <t>1013-7134</t>
  </si>
  <si>
    <t>شرکت کشت و صنعت عطر گل بابونه</t>
  </si>
  <si>
    <t>4313/210</t>
  </si>
  <si>
    <t>90/9/5</t>
  </si>
  <si>
    <t>چاه سیدها</t>
  </si>
  <si>
    <t>1013-3775</t>
  </si>
  <si>
    <t>محمدقلی شاهی</t>
  </si>
  <si>
    <t>سوم</t>
  </si>
  <si>
    <t>90/9/3</t>
  </si>
  <si>
    <t>4908/210</t>
  </si>
  <si>
    <t>90/9/28</t>
  </si>
  <si>
    <t>دامغان</t>
  </si>
  <si>
    <t xml:space="preserve"> آبخوری</t>
  </si>
  <si>
    <t>1013-7026</t>
  </si>
  <si>
    <t>امور عشایری استان</t>
  </si>
  <si>
    <t>90/9/23</t>
  </si>
  <si>
    <t>4911/210</t>
  </si>
  <si>
    <t>90/9/16</t>
  </si>
  <si>
    <t>نام نیک</t>
  </si>
  <si>
    <t>1013-7148</t>
  </si>
  <si>
    <t>محمد علی بیات</t>
  </si>
  <si>
    <t>4905/210</t>
  </si>
  <si>
    <t>1013-7147</t>
  </si>
  <si>
    <t>ولی وزیری</t>
  </si>
  <si>
    <t>4904/210</t>
  </si>
  <si>
    <t>90/10/3</t>
  </si>
  <si>
    <t>1013-4676</t>
  </si>
  <si>
    <t>امیرعباس ریارتی</t>
  </si>
  <si>
    <t>6077/210</t>
  </si>
  <si>
    <t>90/10/6</t>
  </si>
  <si>
    <t>سینگ</t>
  </si>
  <si>
    <t>1013-4697</t>
  </si>
  <si>
    <t>محمدباقر طباطبائی</t>
  </si>
  <si>
    <t>6083/210</t>
  </si>
  <si>
    <t>90/10/18</t>
  </si>
  <si>
    <t>رمضانقره</t>
  </si>
  <si>
    <t>1013-7154</t>
  </si>
  <si>
    <t>6086/210</t>
  </si>
  <si>
    <t>5</t>
  </si>
  <si>
    <t>چارطاقی</t>
  </si>
  <si>
    <t>1013-7153</t>
  </si>
  <si>
    <t>6088/210</t>
  </si>
  <si>
    <r>
      <t>چهار طاق</t>
    </r>
    <r>
      <rPr>
        <b/>
        <sz val="11"/>
        <color indexed="10"/>
        <rFont val="B Nazanin"/>
        <charset val="178"/>
      </rPr>
      <t>-عدل آباد</t>
    </r>
  </si>
  <si>
    <t>1013-7155</t>
  </si>
  <si>
    <t>6089/210</t>
  </si>
  <si>
    <t>کهن تل</t>
  </si>
  <si>
    <t>1013-7156</t>
  </si>
  <si>
    <t>6091/210</t>
  </si>
  <si>
    <t>ده نمک</t>
  </si>
  <si>
    <t>1013-7152</t>
  </si>
  <si>
    <t>6092/210</t>
  </si>
  <si>
    <t>90/11/24</t>
  </si>
  <si>
    <t>1013-7157</t>
  </si>
  <si>
    <t>شرکت کشت وصنعت چاشم</t>
  </si>
  <si>
    <t>90/12/8</t>
  </si>
  <si>
    <t>6499/210</t>
  </si>
  <si>
    <t>90/12/15</t>
  </si>
  <si>
    <t>آرتد</t>
  </si>
  <si>
    <t>1013-7159</t>
  </si>
  <si>
    <t>حسین ابوئی</t>
  </si>
  <si>
    <t>6493/210</t>
  </si>
  <si>
    <t>90/12/9</t>
  </si>
  <si>
    <t>1013-7162</t>
  </si>
  <si>
    <t>ابراهیم شاهورانی</t>
  </si>
  <si>
    <t>180/210</t>
  </si>
  <si>
    <t>یزدان آباد</t>
  </si>
  <si>
    <t>1013-7161</t>
  </si>
  <si>
    <t>182/210</t>
  </si>
  <si>
    <t>اعلا</t>
  </si>
  <si>
    <t>1013-ف5130</t>
  </si>
  <si>
    <t>سید مرتضی خاتمی</t>
  </si>
  <si>
    <t>661/210</t>
  </si>
  <si>
    <t>1013-ف5130/174</t>
  </si>
  <si>
    <t>سعید مرتضی</t>
  </si>
  <si>
    <t>658/210</t>
  </si>
  <si>
    <t>بیارجمند</t>
  </si>
  <si>
    <t>1013-ف711</t>
  </si>
  <si>
    <t>محمد علی احمدی</t>
  </si>
  <si>
    <t>659/210</t>
  </si>
  <si>
    <t>دهملا</t>
  </si>
  <si>
    <t>1013-6587</t>
  </si>
  <si>
    <t>91/2/5</t>
  </si>
  <si>
    <t>841/210</t>
  </si>
  <si>
    <t>91/2/13</t>
  </si>
  <si>
    <t>-</t>
  </si>
  <si>
    <t>قلعه بالا</t>
  </si>
  <si>
    <t>1013-ف2830</t>
  </si>
  <si>
    <t>شرکت کیان توسعه توران</t>
  </si>
  <si>
    <t>1217/210</t>
  </si>
  <si>
    <t>1013-7037</t>
  </si>
  <si>
    <t>حسن ملک احمدی</t>
  </si>
  <si>
    <t>1222/210</t>
  </si>
  <si>
    <t>91/2/31</t>
  </si>
  <si>
    <t>1013-7169</t>
  </si>
  <si>
    <t>1806/210</t>
  </si>
  <si>
    <t>طزره</t>
  </si>
  <si>
    <t>1013-1516</t>
  </si>
  <si>
    <t>1807/210</t>
  </si>
  <si>
    <t>ابراهیم آباد</t>
  </si>
  <si>
    <t>1013-5795</t>
  </si>
  <si>
    <t>1808/210</t>
  </si>
  <si>
    <t>قدس</t>
  </si>
  <si>
    <t>1013-ف5089</t>
  </si>
  <si>
    <t>مهدی خاشعی</t>
  </si>
  <si>
    <t>1809/210</t>
  </si>
  <si>
    <t>1013-ف5130/12</t>
  </si>
  <si>
    <t>عباس زیاری</t>
  </si>
  <si>
    <t>2882/210</t>
  </si>
  <si>
    <t>جاده قم</t>
  </si>
  <si>
    <t>1013-7137</t>
  </si>
  <si>
    <t>سیده مریم اعرابی</t>
  </si>
  <si>
    <t>مجتمع خدماتی</t>
  </si>
  <si>
    <t>90/4/27</t>
  </si>
  <si>
    <t>2883/210</t>
  </si>
  <si>
    <t>91/4/31</t>
  </si>
  <si>
    <t>1013-ف711/12</t>
  </si>
  <si>
    <t>خانم فاطمه باقری</t>
  </si>
  <si>
    <t>3101/210</t>
  </si>
  <si>
    <t>دلازیان</t>
  </si>
  <si>
    <t>محمد جهان مهین</t>
  </si>
  <si>
    <t>3100/210</t>
  </si>
  <si>
    <t>سید آباد</t>
  </si>
  <si>
    <t>1013-7135</t>
  </si>
  <si>
    <t>مجید محمدی</t>
  </si>
  <si>
    <t>90/5/9</t>
  </si>
  <si>
    <t>3096/210</t>
  </si>
  <si>
    <t>914/21</t>
  </si>
  <si>
    <t>کالپوش</t>
  </si>
  <si>
    <t>1013-7122</t>
  </si>
  <si>
    <t>حامد شکاری</t>
  </si>
  <si>
    <t>3097/210</t>
  </si>
  <si>
    <t>یاتری سفلی</t>
  </si>
  <si>
    <t>1013-7178</t>
  </si>
  <si>
    <t>نرگس قندهاری</t>
  </si>
  <si>
    <t>90/5/24</t>
  </si>
  <si>
    <t>3412/210</t>
  </si>
  <si>
    <t>اقبلایه</t>
  </si>
  <si>
    <t>1013-4097</t>
  </si>
  <si>
    <t>محمد حسین ابراهیم آبادی</t>
  </si>
  <si>
    <t>3413/210</t>
  </si>
  <si>
    <t>1013-ف5130/12182</t>
  </si>
  <si>
    <t>کمال پیفلوش</t>
  </si>
  <si>
    <t>3414/210</t>
  </si>
  <si>
    <t>سرآور</t>
  </si>
  <si>
    <t>1013-7129</t>
  </si>
  <si>
    <t>حسین کاشفی</t>
  </si>
  <si>
    <t>3415/210</t>
  </si>
  <si>
    <t>میان آباد</t>
  </si>
  <si>
    <t>1013-7176</t>
  </si>
  <si>
    <t>جهاد دانشگاهی</t>
  </si>
  <si>
    <t>گیاهان داروئی</t>
  </si>
  <si>
    <t>3420/210</t>
  </si>
  <si>
    <t>کلاته رودبار</t>
  </si>
  <si>
    <t>1013-6893</t>
  </si>
  <si>
    <t>شرکت تعونی دشت مینو</t>
  </si>
  <si>
    <t>پرورش شترمرغ</t>
  </si>
  <si>
    <t>دوم</t>
  </si>
  <si>
    <t>3416/210</t>
  </si>
  <si>
    <t>قادر آباد</t>
  </si>
  <si>
    <t>1013-6953</t>
  </si>
  <si>
    <t>شرکت منتخب پویندگان ره</t>
  </si>
  <si>
    <t>3417/210</t>
  </si>
  <si>
    <t>1013-7120</t>
  </si>
  <si>
    <t>زینب جمشیدی</t>
  </si>
  <si>
    <t>3418/210</t>
  </si>
  <si>
    <t>تغییر مصرف به پرورش قارچ</t>
  </si>
  <si>
    <t>حاجی آباد</t>
  </si>
  <si>
    <t>1013-7183</t>
  </si>
  <si>
    <t>شرکت طیور بهاران ابریشم</t>
  </si>
  <si>
    <t>90/6/8</t>
  </si>
  <si>
    <t>3619/210</t>
  </si>
  <si>
    <t>امیریه</t>
  </si>
  <si>
    <t>1013-ف1583/12</t>
  </si>
  <si>
    <t>شرکت دامپروری گلورانس آریا</t>
  </si>
  <si>
    <t>3620/210</t>
  </si>
  <si>
    <t>1013-ف5130/12/183</t>
  </si>
  <si>
    <t>عذرا صبوری منش</t>
  </si>
  <si>
    <t>3622/210</t>
  </si>
  <si>
    <t>دیباج</t>
  </si>
  <si>
    <t>س-188</t>
  </si>
  <si>
    <t>شهرداری دیباج</t>
  </si>
  <si>
    <t>شن و ماسه</t>
  </si>
  <si>
    <t>4747/210</t>
  </si>
  <si>
    <t>1013-7187</t>
  </si>
  <si>
    <t>شرکت کشاورزی ودامپروری نگین کویر میامی</t>
  </si>
  <si>
    <t>4752/210</t>
  </si>
  <si>
    <t>چاه باقر</t>
  </si>
  <si>
    <t>1013-7175</t>
  </si>
  <si>
    <t>مجتبی باقری</t>
  </si>
  <si>
    <t>4754/210</t>
  </si>
  <si>
    <t>1013-7189</t>
  </si>
  <si>
    <t>عبدالحسین حقوقی</t>
  </si>
  <si>
    <t>4755/210</t>
  </si>
  <si>
    <t>شامان</t>
  </si>
  <si>
    <t>1013-6946</t>
  </si>
  <si>
    <t>کوره آجر فشاری نیما</t>
  </si>
  <si>
    <t>کوره آجر</t>
  </si>
  <si>
    <t>4759/210</t>
  </si>
  <si>
    <t>1013-ف4821/12185</t>
  </si>
  <si>
    <t>شرکت سفید ماکیان</t>
  </si>
  <si>
    <t>5490/210</t>
  </si>
  <si>
    <t>شرکت کارخانه خوراک دام وطیور سمنان</t>
  </si>
  <si>
    <t>5518/210</t>
  </si>
  <si>
    <t>رضا آباد</t>
  </si>
  <si>
    <t>1013-7200</t>
  </si>
  <si>
    <t>ناصر ابک</t>
  </si>
  <si>
    <t>5520/210</t>
  </si>
  <si>
    <t>1013-7051</t>
  </si>
  <si>
    <t>شهرداری میامی</t>
  </si>
  <si>
    <t>5522/210</t>
  </si>
  <si>
    <t>1013-7188</t>
  </si>
  <si>
    <t>شرکت بکران دیار</t>
  </si>
  <si>
    <t>5612/210</t>
  </si>
  <si>
    <t>اکتشافی موافقت شد</t>
  </si>
  <si>
    <t>1013-7197</t>
  </si>
  <si>
    <t>رضا شجاعی</t>
  </si>
  <si>
    <t>5606/210</t>
  </si>
  <si>
    <t>سرخده</t>
  </si>
  <si>
    <t>1013-7202</t>
  </si>
  <si>
    <t>خلیل اصغری سرخده ای</t>
  </si>
  <si>
    <t>5607/210</t>
  </si>
  <si>
    <t>.91/8/28</t>
  </si>
  <si>
    <t>1013-7180</t>
  </si>
  <si>
    <t>علی ایمانی</t>
  </si>
  <si>
    <t>5605/210</t>
  </si>
  <si>
    <t>کلاته اسد</t>
  </si>
  <si>
    <t>1013-ف5089/12188</t>
  </si>
  <si>
    <t>علی اکبر عرب حسن آبادی</t>
  </si>
  <si>
    <t>5604/210</t>
  </si>
  <si>
    <t>دزیان</t>
  </si>
  <si>
    <t>1013-ف2830/12186</t>
  </si>
  <si>
    <t>مهدی بیگی</t>
  </si>
  <si>
    <t>5603/210</t>
  </si>
  <si>
    <t>قلعه چه</t>
  </si>
  <si>
    <t>1013-5961</t>
  </si>
  <si>
    <t>علی همتا</t>
  </si>
  <si>
    <t>5610/210</t>
  </si>
  <si>
    <t>1013-6359</t>
  </si>
  <si>
    <t>عبدا..جعفر آبادی</t>
  </si>
  <si>
    <t>5609/210</t>
  </si>
  <si>
    <t>91/5/20</t>
  </si>
  <si>
    <t>ابوالبق</t>
  </si>
  <si>
    <t>1013-7179</t>
  </si>
  <si>
    <t>شرکت شن سازان ستاره دامغان</t>
  </si>
  <si>
    <t>6013/210</t>
  </si>
  <si>
    <t>91/7/23</t>
  </si>
  <si>
    <t>آب بخشان</t>
  </si>
  <si>
    <t>1013-7196</t>
  </si>
  <si>
    <t>شرکت شن وماسه نگین دامغان</t>
  </si>
  <si>
    <t>5994/210</t>
  </si>
  <si>
    <t>91/8/2</t>
  </si>
  <si>
    <t>معلمان</t>
  </si>
  <si>
    <t>آقای حسن مرتضی نژاد</t>
  </si>
  <si>
    <t>5996/210</t>
  </si>
  <si>
    <t>91/9/25</t>
  </si>
  <si>
    <t xml:space="preserve">صح </t>
  </si>
  <si>
    <t>1013-6068</t>
  </si>
  <si>
    <t>آقای غلامرضا میرنژاد</t>
  </si>
  <si>
    <t>91/9/14</t>
  </si>
  <si>
    <t>5997/210</t>
  </si>
  <si>
    <t>91/8/30</t>
  </si>
  <si>
    <t>نردین</t>
  </si>
  <si>
    <t>1013-7201</t>
  </si>
  <si>
    <t>آقای تقی پیران</t>
  </si>
  <si>
    <t>5998/210</t>
  </si>
  <si>
    <t>پرور</t>
  </si>
  <si>
    <t>1013-7208</t>
  </si>
  <si>
    <t>منابع طبیعی مهدیشهر</t>
  </si>
  <si>
    <t>اطفا حریق</t>
  </si>
  <si>
    <t>6001/210</t>
  </si>
  <si>
    <t>91/7/4</t>
  </si>
  <si>
    <t>1013-7014</t>
  </si>
  <si>
    <t>مرکز درمانی وتوانبخشی بیماران مزمن روانی</t>
  </si>
  <si>
    <t>91/7/12</t>
  </si>
  <si>
    <t>6003/210</t>
  </si>
  <si>
    <t>91/8/28</t>
  </si>
  <si>
    <t>بدشت</t>
  </si>
  <si>
    <t>1013-6144/ف/189</t>
  </si>
  <si>
    <t>اقای سید محمد حسینی نژاد</t>
  </si>
  <si>
    <t>6121/210</t>
  </si>
  <si>
    <t>91/9/29</t>
  </si>
  <si>
    <t>91/10/4</t>
  </si>
  <si>
    <t>12ف/5130-1013</t>
  </si>
  <si>
    <t>فریده هاشم پور</t>
  </si>
  <si>
    <t>91/10/23</t>
  </si>
  <si>
    <t>6615/210</t>
  </si>
  <si>
    <t>91/10/20</t>
  </si>
  <si>
    <t>91/9/15</t>
  </si>
  <si>
    <t>جام</t>
  </si>
  <si>
    <t>قربانعلی آرمیون</t>
  </si>
  <si>
    <t>91/9/4</t>
  </si>
  <si>
    <t>6327/210</t>
  </si>
  <si>
    <t>91/10/9</t>
  </si>
  <si>
    <t>کلاته</t>
  </si>
  <si>
    <t>1013-6224</t>
  </si>
  <si>
    <t>مصطفی عظیمی</t>
  </si>
  <si>
    <t>کک  سازی</t>
  </si>
  <si>
    <t>6811/210</t>
  </si>
  <si>
    <t>91/10/30</t>
  </si>
  <si>
    <t>1013-5439</t>
  </si>
  <si>
    <t>سید حسین طباطبائی</t>
  </si>
  <si>
    <t>6810/210</t>
  </si>
  <si>
    <t>91/10/19</t>
  </si>
  <si>
    <t>عبدل آباد</t>
  </si>
  <si>
    <t>مجتبی خانی ومیثم میرزائی</t>
  </si>
  <si>
    <t>91/10/25</t>
  </si>
  <si>
    <t>6808/210</t>
  </si>
  <si>
    <t>تاش</t>
  </si>
  <si>
    <t>قربانعلی زاهدی</t>
  </si>
  <si>
    <t>7011/210</t>
  </si>
  <si>
    <t>91/11/14</t>
  </si>
  <si>
    <t>91/10/6</t>
  </si>
  <si>
    <t>تعاونی کشاورزی شماره 16 مهر</t>
  </si>
  <si>
    <t>پرورش بوقلمون</t>
  </si>
  <si>
    <t>7014/210</t>
  </si>
  <si>
    <t>91/10/12</t>
  </si>
  <si>
    <t>صیدآباد</t>
  </si>
  <si>
    <t>ابراهیم حافظی</t>
  </si>
  <si>
    <t>مالداری</t>
  </si>
  <si>
    <t>7020/210</t>
  </si>
  <si>
    <t>چاه جام</t>
  </si>
  <si>
    <t>سازمان اتکا</t>
  </si>
  <si>
    <t>7005/210</t>
  </si>
  <si>
    <t>عباس ابراهیم ابادی</t>
  </si>
  <si>
    <t>91/11/1</t>
  </si>
  <si>
    <t>7017/210</t>
  </si>
  <si>
    <t>فاطمه باقری</t>
  </si>
  <si>
    <t>7010/210</t>
  </si>
  <si>
    <t>1013-51</t>
  </si>
  <si>
    <t>1013-7147د</t>
  </si>
  <si>
    <t>1013-482112187</t>
  </si>
  <si>
    <t>1013-48212</t>
  </si>
  <si>
    <t>1013-71892</t>
  </si>
  <si>
    <t>فاقد کلاسه1</t>
  </si>
  <si>
    <t>فاقد کلاسه2</t>
  </si>
  <si>
    <t>فاقد کلاسه3</t>
  </si>
  <si>
    <t>فاقد کلاسه4</t>
  </si>
  <si>
    <t>فاقد کلاسه5</t>
  </si>
  <si>
    <t>فاقد کلاسه6</t>
  </si>
  <si>
    <t>فاقد کلاسه7</t>
  </si>
  <si>
    <t>فاقد کلاسه8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</si>
</sst>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0"/>
      <name val="B Nazanin"/>
      <charset val="178"/>
    </font>
    <font>
      <b/>
      <sz val="11"/>
      <name val="B Nazanin"/>
      <charset val="178"/>
    </font>
    <font>
      <b/>
      <sz val="11"/>
      <color indexed="10"/>
      <name val="B Nazanin"/>
      <charset val="178"/>
    </font>
    <font>
      <b/>
      <sz val="12"/>
      <name val="B Nazanin"/>
      <charset val="178"/>
    </font>
    <font>
      <b/>
      <sz val="11"/>
      <color indexed="8"/>
      <name val="B Nazanin"/>
      <charset val="178"/>
    </font>
    <font>
      <b/>
      <sz val="10"/>
      <color indexed="57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"/>
  <sheetViews>
    <sheetView rightToLeft="1" tabSelected="1" topLeftCell="F77" workbookViewId="0">
      <selection activeCell="H101" sqref="H101"/>
    </sheetView>
  </sheetViews>
  <sheetFormatPr defaultRowHeight="13.8" x14ac:dyDescent="0.45"/>
  <sheetData>
    <row r="1" spans="1:24" ht="15.3" x14ac:dyDescent="0.45">
      <c r="A1" s="1" t="s">
        <v>117</v>
      </c>
      <c r="B1" s="1" t="s">
        <v>112</v>
      </c>
      <c r="C1" s="1" t="s">
        <v>98</v>
      </c>
      <c r="D1" s="4" t="s">
        <v>99</v>
      </c>
      <c r="E1" s="1" t="s">
        <v>100</v>
      </c>
      <c r="F1" s="1" t="s">
        <v>101</v>
      </c>
      <c r="G1" s="1" t="s">
        <v>113</v>
      </c>
      <c r="H1" s="2" t="s">
        <v>0</v>
      </c>
      <c r="I1" s="3" t="s">
        <v>1</v>
      </c>
      <c r="J1" s="1" t="s">
        <v>2</v>
      </c>
      <c r="K1" s="1" t="s">
        <v>114</v>
      </c>
      <c r="L1" s="1" t="s">
        <v>3</v>
      </c>
      <c r="M1" s="1" t="s">
        <v>4</v>
      </c>
      <c r="N1" s="1" t="s">
        <v>5</v>
      </c>
      <c r="O1" s="4" t="s">
        <v>6</v>
      </c>
      <c r="P1" s="4" t="s">
        <v>7</v>
      </c>
      <c r="Q1" s="4" t="s">
        <v>8</v>
      </c>
      <c r="R1" s="1" t="s">
        <v>9</v>
      </c>
      <c r="S1" s="2" t="s">
        <v>10</v>
      </c>
      <c r="T1" s="2" t="s">
        <v>115</v>
      </c>
      <c r="U1" s="2" t="s">
        <v>11</v>
      </c>
      <c r="V1" s="2" t="s">
        <v>12</v>
      </c>
      <c r="W1" s="2" t="s">
        <v>13</v>
      </c>
      <c r="X1" s="5" t="s">
        <v>14</v>
      </c>
    </row>
    <row r="2" spans="1:24" ht="17.100000000000001" x14ac:dyDescent="1">
      <c r="A2" s="6">
        <v>1</v>
      </c>
      <c r="B2" s="6" t="s">
        <v>102</v>
      </c>
      <c r="C2" s="6">
        <v>90</v>
      </c>
      <c r="D2" s="10" t="s">
        <v>103</v>
      </c>
      <c r="E2" s="19">
        <v>1502</v>
      </c>
      <c r="F2" s="6" t="s">
        <v>104</v>
      </c>
      <c r="G2" s="6" t="s">
        <v>15</v>
      </c>
      <c r="H2" s="7" t="s">
        <v>16</v>
      </c>
      <c r="I2" s="7" t="s">
        <v>17</v>
      </c>
      <c r="J2" s="6" t="s">
        <v>18</v>
      </c>
      <c r="K2" s="6" t="s">
        <v>19</v>
      </c>
      <c r="L2" s="6" t="s">
        <v>20</v>
      </c>
      <c r="M2" s="8" t="s">
        <v>21</v>
      </c>
      <c r="N2" s="9" t="s">
        <v>22</v>
      </c>
      <c r="O2" s="22" t="s">
        <v>23</v>
      </c>
      <c r="P2" s="10" t="s">
        <v>24</v>
      </c>
      <c r="Q2" s="10" t="s">
        <v>25</v>
      </c>
      <c r="R2" s="6" t="s">
        <v>26</v>
      </c>
      <c r="S2" s="9" t="s">
        <v>27</v>
      </c>
      <c r="T2" s="21">
        <v>7.5</v>
      </c>
      <c r="U2" s="7">
        <v>100</v>
      </c>
      <c r="V2" s="7">
        <v>7.5</v>
      </c>
      <c r="W2" s="7">
        <f>U2-V2</f>
        <v>92.5</v>
      </c>
      <c r="X2" s="11" t="s">
        <v>28</v>
      </c>
    </row>
    <row r="3" spans="1:24" ht="17.100000000000001" x14ac:dyDescent="1">
      <c r="A3" s="8">
        <v>2</v>
      </c>
      <c r="B3" s="8" t="s">
        <v>105</v>
      </c>
      <c r="C3" s="8">
        <v>90</v>
      </c>
      <c r="D3" s="14" t="s">
        <v>36</v>
      </c>
      <c r="E3" s="20">
        <v>4705</v>
      </c>
      <c r="F3" s="8" t="s">
        <v>106</v>
      </c>
      <c r="G3" s="8" t="s">
        <v>29</v>
      </c>
      <c r="H3" s="12" t="s">
        <v>30</v>
      </c>
      <c r="I3" s="13" t="s">
        <v>31</v>
      </c>
      <c r="J3" s="8" t="s">
        <v>18</v>
      </c>
      <c r="K3" s="8" t="s">
        <v>19</v>
      </c>
      <c r="L3" s="8" t="s">
        <v>32</v>
      </c>
      <c r="M3" s="8" t="s">
        <v>33</v>
      </c>
      <c r="N3" s="9" t="s">
        <v>22</v>
      </c>
      <c r="O3" s="14" t="s">
        <v>34</v>
      </c>
      <c r="P3" s="14" t="s">
        <v>35</v>
      </c>
      <c r="Q3" s="14" t="s">
        <v>36</v>
      </c>
      <c r="R3" s="8" t="s">
        <v>26</v>
      </c>
      <c r="S3" s="9" t="s">
        <v>37</v>
      </c>
      <c r="T3" s="21">
        <v>0</v>
      </c>
      <c r="U3" s="9">
        <v>31.3</v>
      </c>
      <c r="V3" s="9">
        <v>0</v>
      </c>
      <c r="W3" s="9">
        <f>U3-T3</f>
        <v>31.3</v>
      </c>
      <c r="X3" s="15" t="s">
        <v>28</v>
      </c>
    </row>
    <row r="4" spans="1:24" ht="17.100000000000001" x14ac:dyDescent="1">
      <c r="A4" s="8">
        <v>3</v>
      </c>
      <c r="B4" s="8" t="s">
        <v>102</v>
      </c>
      <c r="C4" s="8">
        <v>90</v>
      </c>
      <c r="D4" s="14" t="s">
        <v>107</v>
      </c>
      <c r="E4" s="20">
        <v>4747</v>
      </c>
      <c r="F4" s="8" t="s">
        <v>106</v>
      </c>
      <c r="G4" s="8" t="s">
        <v>38</v>
      </c>
      <c r="H4" s="12" t="s">
        <v>39</v>
      </c>
      <c r="I4" s="13" t="s">
        <v>40</v>
      </c>
      <c r="J4" s="8" t="s">
        <v>18</v>
      </c>
      <c r="K4" s="8" t="s">
        <v>19</v>
      </c>
      <c r="L4" s="8" t="s">
        <v>41</v>
      </c>
      <c r="M4" s="8" t="s">
        <v>21</v>
      </c>
      <c r="N4" s="9" t="s">
        <v>22</v>
      </c>
      <c r="O4" s="14" t="s">
        <v>42</v>
      </c>
      <c r="P4" s="14" t="s">
        <v>43</v>
      </c>
      <c r="Q4" s="14" t="s">
        <v>44</v>
      </c>
      <c r="R4" s="8" t="s">
        <v>26</v>
      </c>
      <c r="S4" s="9" t="s">
        <v>45</v>
      </c>
      <c r="T4" s="21">
        <v>3</v>
      </c>
      <c r="U4" s="9">
        <v>126.5</v>
      </c>
      <c r="V4" s="9">
        <v>3</v>
      </c>
      <c r="W4" s="9">
        <f>U4-V4</f>
        <v>123.5</v>
      </c>
      <c r="X4" s="16" t="s">
        <v>46</v>
      </c>
    </row>
    <row r="5" spans="1:24" ht="18.3" x14ac:dyDescent="0.45">
      <c r="A5" s="9">
        <v>4</v>
      </c>
      <c r="B5" s="9" t="s">
        <v>108</v>
      </c>
      <c r="C5" s="9">
        <v>90</v>
      </c>
      <c r="D5" s="9" t="s">
        <v>109</v>
      </c>
      <c r="E5" s="9">
        <v>4731</v>
      </c>
      <c r="F5" s="9" t="s">
        <v>104</v>
      </c>
      <c r="G5" s="9" t="s">
        <v>47</v>
      </c>
      <c r="H5" s="9" t="s">
        <v>48</v>
      </c>
      <c r="I5" s="9" t="s">
        <v>49</v>
      </c>
      <c r="J5" s="9" t="s">
        <v>18</v>
      </c>
      <c r="K5" s="9" t="s">
        <v>50</v>
      </c>
      <c r="L5" s="9" t="s">
        <v>51</v>
      </c>
      <c r="M5" s="9" t="s">
        <v>52</v>
      </c>
      <c r="N5" s="9" t="s">
        <v>22</v>
      </c>
      <c r="O5" s="9" t="s">
        <v>53</v>
      </c>
      <c r="P5" s="9" t="s">
        <v>54</v>
      </c>
      <c r="Q5" s="9" t="s">
        <v>55</v>
      </c>
      <c r="R5" s="9" t="s">
        <v>26</v>
      </c>
      <c r="S5" s="9"/>
      <c r="T5" s="17">
        <v>148.5</v>
      </c>
      <c r="U5" s="9">
        <v>150</v>
      </c>
      <c r="V5" s="9">
        <v>148.5</v>
      </c>
      <c r="W5" s="9">
        <f>U5-V5</f>
        <v>1.5</v>
      </c>
      <c r="X5" s="9" t="s">
        <v>28</v>
      </c>
    </row>
    <row r="6" spans="1:24" ht="15.3" x14ac:dyDescent="0.45">
      <c r="A6" s="9">
        <v>5</v>
      </c>
      <c r="B6" s="9" t="s">
        <v>102</v>
      </c>
      <c r="C6" s="9">
        <v>90</v>
      </c>
      <c r="D6" s="9" t="s">
        <v>55</v>
      </c>
      <c r="E6" s="9">
        <v>1502</v>
      </c>
      <c r="F6" s="9" t="s">
        <v>104</v>
      </c>
      <c r="G6" s="9" t="s">
        <v>15</v>
      </c>
      <c r="H6" s="9" t="s">
        <v>56</v>
      </c>
      <c r="I6" s="9" t="s">
        <v>57</v>
      </c>
      <c r="J6" s="9" t="s">
        <v>18</v>
      </c>
      <c r="K6" s="9" t="s">
        <v>58</v>
      </c>
      <c r="L6" s="9" t="s">
        <v>58</v>
      </c>
      <c r="M6" s="9" t="s">
        <v>58</v>
      </c>
      <c r="N6" s="9" t="s">
        <v>22</v>
      </c>
      <c r="O6" s="9" t="s">
        <v>53</v>
      </c>
      <c r="P6" s="9" t="s">
        <v>59</v>
      </c>
      <c r="Q6" s="9" t="s">
        <v>55</v>
      </c>
      <c r="R6" s="9" t="s">
        <v>26</v>
      </c>
      <c r="S6" s="9" t="s">
        <v>60</v>
      </c>
      <c r="T6" s="18">
        <v>6</v>
      </c>
      <c r="U6" s="9">
        <v>200</v>
      </c>
      <c r="V6" s="9">
        <v>6</v>
      </c>
      <c r="W6" s="9">
        <f>U6-V6</f>
        <v>194</v>
      </c>
      <c r="X6" s="9" t="s">
        <v>28</v>
      </c>
    </row>
    <row r="7" spans="1:24" ht="15.3" x14ac:dyDescent="0.45">
      <c r="A7" s="9">
        <v>6</v>
      </c>
      <c r="B7" s="9" t="s">
        <v>102</v>
      </c>
      <c r="C7" s="9">
        <v>90</v>
      </c>
      <c r="D7" s="9" t="s">
        <v>110</v>
      </c>
      <c r="E7" s="9">
        <v>1502</v>
      </c>
      <c r="F7" s="9" t="s">
        <v>104</v>
      </c>
      <c r="G7" s="9" t="s">
        <v>15</v>
      </c>
      <c r="H7" s="9" t="s">
        <v>61</v>
      </c>
      <c r="I7" s="9" t="s">
        <v>62</v>
      </c>
      <c r="J7" s="9" t="s">
        <v>18</v>
      </c>
      <c r="K7" s="9" t="s">
        <v>58</v>
      </c>
      <c r="L7" s="9" t="s">
        <v>58</v>
      </c>
      <c r="M7" s="9" t="s">
        <v>58</v>
      </c>
      <c r="N7" s="9" t="s">
        <v>22</v>
      </c>
      <c r="O7" s="9" t="s">
        <v>63</v>
      </c>
      <c r="P7" s="9" t="s">
        <v>64</v>
      </c>
      <c r="Q7" s="9" t="s">
        <v>65</v>
      </c>
      <c r="R7" s="9" t="s">
        <v>26</v>
      </c>
      <c r="S7" s="9" t="s">
        <v>66</v>
      </c>
      <c r="T7" s="18">
        <v>10</v>
      </c>
      <c r="U7" s="9">
        <v>200</v>
      </c>
      <c r="V7" s="9">
        <v>16</v>
      </c>
      <c r="W7" s="9">
        <f>U7-V7</f>
        <v>184</v>
      </c>
      <c r="X7" s="9" t="s">
        <v>28</v>
      </c>
    </row>
    <row r="8" spans="1:24" ht="15.3" x14ac:dyDescent="0.45">
      <c r="A8" s="9">
        <v>7</v>
      </c>
      <c r="B8" s="9" t="s">
        <v>111</v>
      </c>
      <c r="C8" s="9">
        <v>90</v>
      </c>
      <c r="D8" s="9" t="s">
        <v>72</v>
      </c>
      <c r="E8" s="9">
        <v>4704</v>
      </c>
      <c r="F8" s="9" t="s">
        <v>106</v>
      </c>
      <c r="G8" s="9" t="s">
        <v>67</v>
      </c>
      <c r="H8" s="9" t="s">
        <v>492</v>
      </c>
      <c r="I8" s="9" t="s">
        <v>69</v>
      </c>
      <c r="J8" s="9" t="s">
        <v>70</v>
      </c>
      <c r="K8" s="9" t="s">
        <v>50</v>
      </c>
      <c r="L8" s="9" t="s">
        <v>71</v>
      </c>
      <c r="M8" s="9" t="s">
        <v>21</v>
      </c>
      <c r="N8" s="9" t="s">
        <v>22</v>
      </c>
      <c r="O8" s="9" t="s">
        <v>72</v>
      </c>
      <c r="P8" s="9" t="s">
        <v>73</v>
      </c>
      <c r="Q8" s="9" t="s">
        <v>74</v>
      </c>
      <c r="R8" s="9" t="s">
        <v>26</v>
      </c>
      <c r="S8" s="9" t="s">
        <v>75</v>
      </c>
      <c r="T8" s="18">
        <v>1.05</v>
      </c>
      <c r="U8" s="9">
        <v>500</v>
      </c>
      <c r="V8" s="9">
        <v>1.05</v>
      </c>
      <c r="W8" s="9">
        <f>U8-V8</f>
        <v>498.95</v>
      </c>
      <c r="X8" s="9" t="s">
        <v>28</v>
      </c>
    </row>
    <row r="9" spans="1:24" ht="15.3" x14ac:dyDescent="0.45">
      <c r="A9" s="9">
        <v>8</v>
      </c>
      <c r="B9" s="9" t="s">
        <v>111</v>
      </c>
      <c r="C9" s="9">
        <v>90</v>
      </c>
      <c r="D9" s="9" t="s">
        <v>72</v>
      </c>
      <c r="E9" s="9">
        <v>4704</v>
      </c>
      <c r="F9" s="9" t="s">
        <v>106</v>
      </c>
      <c r="G9" s="9" t="s">
        <v>76</v>
      </c>
      <c r="H9" s="9" t="s">
        <v>68</v>
      </c>
      <c r="I9" s="9" t="s">
        <v>77</v>
      </c>
      <c r="J9" s="9" t="s">
        <v>70</v>
      </c>
      <c r="K9" s="9" t="s">
        <v>50</v>
      </c>
      <c r="L9" s="9" t="s">
        <v>20</v>
      </c>
      <c r="M9" s="9" t="s">
        <v>21</v>
      </c>
      <c r="N9" s="9" t="s">
        <v>22</v>
      </c>
      <c r="O9" s="9" t="s">
        <v>78</v>
      </c>
      <c r="P9" s="9" t="s">
        <v>79</v>
      </c>
      <c r="Q9" s="9" t="s">
        <v>74</v>
      </c>
      <c r="R9" s="9" t="s">
        <v>26</v>
      </c>
      <c r="S9" s="9" t="s">
        <v>80</v>
      </c>
      <c r="T9" s="18">
        <v>0.6</v>
      </c>
      <c r="U9" s="9">
        <v>500</v>
      </c>
      <c r="V9" s="9">
        <v>1.65</v>
      </c>
      <c r="W9" s="9">
        <f>U9-V9</f>
        <v>498.35</v>
      </c>
      <c r="X9" s="9" t="s">
        <v>28</v>
      </c>
    </row>
    <row r="10" spans="1:24" ht="15.3" x14ac:dyDescent="0.45">
      <c r="A10" s="9">
        <v>9</v>
      </c>
      <c r="B10" s="9" t="s">
        <v>102</v>
      </c>
      <c r="C10" s="9">
        <v>90</v>
      </c>
      <c r="D10" s="9" t="s">
        <v>118</v>
      </c>
      <c r="E10" s="9">
        <v>1502</v>
      </c>
      <c r="F10" s="9" t="s">
        <v>104</v>
      </c>
      <c r="G10" s="9" t="s">
        <v>81</v>
      </c>
      <c r="H10" s="9" t="s">
        <v>82</v>
      </c>
      <c r="I10" s="9" t="s">
        <v>83</v>
      </c>
      <c r="J10" s="9" t="s">
        <v>18</v>
      </c>
      <c r="K10" s="9" t="s">
        <v>19</v>
      </c>
      <c r="L10" s="9" t="s">
        <v>41</v>
      </c>
      <c r="M10" s="9" t="s">
        <v>21</v>
      </c>
      <c r="N10" s="9" t="s">
        <v>22</v>
      </c>
      <c r="O10" s="9" t="s">
        <v>34</v>
      </c>
      <c r="P10" s="9" t="s">
        <v>84</v>
      </c>
      <c r="Q10" s="9" t="s">
        <v>85</v>
      </c>
      <c r="R10" s="9" t="s">
        <v>26</v>
      </c>
      <c r="S10" s="9" t="s">
        <v>86</v>
      </c>
      <c r="T10" s="9">
        <v>0.9</v>
      </c>
      <c r="U10" s="9">
        <v>100</v>
      </c>
      <c r="V10" s="9">
        <v>8.4</v>
      </c>
      <c r="W10" s="9">
        <f>U10-V10</f>
        <v>91.6</v>
      </c>
      <c r="X10" s="9" t="s">
        <v>28</v>
      </c>
    </row>
    <row r="11" spans="1:24" ht="15.3" x14ac:dyDescent="0.45">
      <c r="A11" s="9">
        <v>10</v>
      </c>
      <c r="B11" s="9" t="s">
        <v>108</v>
      </c>
      <c r="C11" s="9">
        <v>90</v>
      </c>
      <c r="D11" s="9" t="s">
        <v>119</v>
      </c>
      <c r="E11" s="9">
        <v>4733</v>
      </c>
      <c r="F11" s="9" t="s">
        <v>104</v>
      </c>
      <c r="G11" s="9" t="s">
        <v>87</v>
      </c>
      <c r="H11" s="9" t="s">
        <v>88</v>
      </c>
      <c r="I11" s="9" t="s">
        <v>49</v>
      </c>
      <c r="J11" s="9" t="s">
        <v>18</v>
      </c>
      <c r="K11" s="9" t="s">
        <v>50</v>
      </c>
      <c r="L11" s="9" t="s">
        <v>51</v>
      </c>
      <c r="M11" s="9" t="s">
        <v>52</v>
      </c>
      <c r="N11" s="9" t="s">
        <v>22</v>
      </c>
      <c r="O11" s="9" t="s">
        <v>89</v>
      </c>
      <c r="P11" s="9" t="s">
        <v>90</v>
      </c>
      <c r="Q11" s="9" t="s">
        <v>91</v>
      </c>
      <c r="R11" s="9" t="s">
        <v>92</v>
      </c>
      <c r="S11" s="9" t="s">
        <v>93</v>
      </c>
      <c r="T11" s="18">
        <v>19.8</v>
      </c>
      <c r="U11" s="9">
        <v>100</v>
      </c>
      <c r="V11" s="9">
        <v>19.8</v>
      </c>
      <c r="W11" s="9">
        <f>U11-V11</f>
        <v>80.2</v>
      </c>
      <c r="X11" s="9" t="s">
        <v>28</v>
      </c>
    </row>
    <row r="12" spans="1:24" ht="15.3" x14ac:dyDescent="0.45">
      <c r="A12" s="9">
        <v>11</v>
      </c>
      <c r="B12" s="9" t="s">
        <v>108</v>
      </c>
      <c r="C12" s="9">
        <v>90</v>
      </c>
      <c r="D12" s="9" t="s">
        <v>120</v>
      </c>
      <c r="E12" s="9">
        <v>4734</v>
      </c>
      <c r="F12" s="9" t="s">
        <v>104</v>
      </c>
      <c r="G12" s="9" t="s">
        <v>94</v>
      </c>
      <c r="H12" s="9" t="s">
        <v>489</v>
      </c>
      <c r="I12" s="9" t="s">
        <v>49</v>
      </c>
      <c r="J12" s="9" t="s">
        <v>18</v>
      </c>
      <c r="K12" s="9" t="s">
        <v>50</v>
      </c>
      <c r="L12" s="9" t="s">
        <v>51</v>
      </c>
      <c r="M12" s="9" t="s">
        <v>52</v>
      </c>
      <c r="N12" s="9" t="s">
        <v>22</v>
      </c>
      <c r="O12" s="9" t="s">
        <v>89</v>
      </c>
      <c r="P12" s="9" t="s">
        <v>96</v>
      </c>
      <c r="Q12" s="9" t="s">
        <v>91</v>
      </c>
      <c r="R12" s="9" t="s">
        <v>92</v>
      </c>
      <c r="S12" s="9" t="s">
        <v>97</v>
      </c>
      <c r="T12" s="18">
        <v>79.2</v>
      </c>
      <c r="U12" s="9">
        <v>100</v>
      </c>
      <c r="V12" s="9">
        <v>79.2</v>
      </c>
      <c r="W12" s="9">
        <f>U12-V12</f>
        <v>20.799999999999997</v>
      </c>
      <c r="X12" s="9" t="s">
        <v>28</v>
      </c>
    </row>
    <row r="13" spans="1:24" ht="15.3" x14ac:dyDescent="0.45">
      <c r="A13" s="9">
        <v>12</v>
      </c>
      <c r="B13" s="9" t="s">
        <v>108</v>
      </c>
      <c r="C13" s="9">
        <v>90</v>
      </c>
      <c r="D13" s="9" t="s">
        <v>121</v>
      </c>
      <c r="E13" s="9">
        <v>4750</v>
      </c>
      <c r="F13" s="9" t="s">
        <v>106</v>
      </c>
      <c r="G13" s="9" t="s">
        <v>122</v>
      </c>
      <c r="H13" s="9" t="s">
        <v>123</v>
      </c>
      <c r="I13" s="9" t="s">
        <v>124</v>
      </c>
      <c r="J13" s="9" t="s">
        <v>18</v>
      </c>
      <c r="K13" s="9" t="s">
        <v>50</v>
      </c>
      <c r="L13" s="9" t="s">
        <v>125</v>
      </c>
      <c r="M13" s="9" t="s">
        <v>52</v>
      </c>
      <c r="N13" s="9" t="s">
        <v>22</v>
      </c>
      <c r="O13" s="9" t="s">
        <v>89</v>
      </c>
      <c r="P13" s="9" t="s">
        <v>126</v>
      </c>
      <c r="Q13" s="9" t="s">
        <v>127</v>
      </c>
      <c r="R13" s="9" t="s">
        <v>26</v>
      </c>
      <c r="S13" s="9" t="s">
        <v>128</v>
      </c>
      <c r="T13" s="18">
        <v>100</v>
      </c>
      <c r="U13" s="9">
        <v>100</v>
      </c>
      <c r="V13" s="9">
        <v>100</v>
      </c>
      <c r="W13" s="9">
        <f>U13-V13</f>
        <v>0</v>
      </c>
      <c r="X13" s="9" t="s">
        <v>28</v>
      </c>
    </row>
    <row r="14" spans="1:24" ht="15.3" x14ac:dyDescent="0.45">
      <c r="A14" s="9">
        <v>13</v>
      </c>
      <c r="B14" s="9" t="s">
        <v>102</v>
      </c>
      <c r="C14" s="9">
        <v>90</v>
      </c>
      <c r="D14" s="9" t="s">
        <v>129</v>
      </c>
      <c r="E14" s="9">
        <v>1502</v>
      </c>
      <c r="F14" s="9" t="s">
        <v>104</v>
      </c>
      <c r="G14" s="9" t="s">
        <v>15</v>
      </c>
      <c r="H14" s="9" t="s">
        <v>130</v>
      </c>
      <c r="I14" s="9" t="s">
        <v>131</v>
      </c>
      <c r="J14" s="9" t="s">
        <v>18</v>
      </c>
      <c r="K14" s="9" t="s">
        <v>19</v>
      </c>
      <c r="L14" s="9" t="s">
        <v>41</v>
      </c>
      <c r="M14" s="9" t="s">
        <v>21</v>
      </c>
      <c r="N14" s="9" t="s">
        <v>22</v>
      </c>
      <c r="O14" s="9" t="s">
        <v>132</v>
      </c>
      <c r="P14" s="9" t="s">
        <v>133</v>
      </c>
      <c r="Q14" s="9" t="s">
        <v>127</v>
      </c>
      <c r="R14" s="9" t="s">
        <v>26</v>
      </c>
      <c r="S14" s="9" t="s">
        <v>45</v>
      </c>
      <c r="T14" s="9">
        <v>3</v>
      </c>
      <c r="U14" s="9">
        <v>100</v>
      </c>
      <c r="V14" s="9">
        <v>11.4</v>
      </c>
      <c r="W14" s="9">
        <f>U14-V14</f>
        <v>88.6</v>
      </c>
      <c r="X14" s="9" t="s">
        <v>28</v>
      </c>
    </row>
    <row r="15" spans="1:24" ht="15.3" x14ac:dyDescent="0.45">
      <c r="A15" s="9">
        <v>14</v>
      </c>
      <c r="B15" s="9" t="s">
        <v>102</v>
      </c>
      <c r="C15" s="9">
        <v>90</v>
      </c>
      <c r="D15" s="9" t="s">
        <v>129</v>
      </c>
      <c r="E15" s="9">
        <v>1502</v>
      </c>
      <c r="F15" s="9" t="s">
        <v>104</v>
      </c>
      <c r="G15" s="9" t="s">
        <v>134</v>
      </c>
      <c r="H15" s="9" t="s">
        <v>135</v>
      </c>
      <c r="I15" s="9" t="s">
        <v>136</v>
      </c>
      <c r="J15" s="9" t="s">
        <v>18</v>
      </c>
      <c r="K15" s="9" t="s">
        <v>58</v>
      </c>
      <c r="L15" s="9" t="s">
        <v>137</v>
      </c>
      <c r="M15" s="9" t="s">
        <v>58</v>
      </c>
      <c r="N15" s="9" t="s">
        <v>22</v>
      </c>
      <c r="O15" s="9" t="s">
        <v>138</v>
      </c>
      <c r="P15" s="9" t="s">
        <v>139</v>
      </c>
      <c r="Q15" s="9" t="s">
        <v>127</v>
      </c>
      <c r="R15" s="9" t="s">
        <v>26</v>
      </c>
      <c r="S15" s="9" t="s">
        <v>45</v>
      </c>
      <c r="T15" s="18">
        <v>2</v>
      </c>
      <c r="U15" s="9">
        <v>200</v>
      </c>
      <c r="V15" s="9">
        <v>18</v>
      </c>
      <c r="W15" s="9">
        <f>U15-V15</f>
        <v>182</v>
      </c>
      <c r="X15" s="9" t="s">
        <v>28</v>
      </c>
    </row>
    <row r="16" spans="1:24" ht="15.3" x14ac:dyDescent="0.45">
      <c r="A16" s="9">
        <v>15</v>
      </c>
      <c r="B16" s="9" t="s">
        <v>108</v>
      </c>
      <c r="C16" s="9">
        <v>90</v>
      </c>
      <c r="D16" s="9" t="s">
        <v>140</v>
      </c>
      <c r="E16" s="9">
        <v>4750</v>
      </c>
      <c r="F16" s="9" t="s">
        <v>106</v>
      </c>
      <c r="G16" s="9" t="s">
        <v>141</v>
      </c>
      <c r="H16" s="9" t="s">
        <v>95</v>
      </c>
      <c r="I16" s="9" t="s">
        <v>142</v>
      </c>
      <c r="J16" s="9" t="s">
        <v>18</v>
      </c>
      <c r="K16" s="9" t="s">
        <v>19</v>
      </c>
      <c r="L16" s="9" t="s">
        <v>19</v>
      </c>
      <c r="M16" s="9" t="s">
        <v>19</v>
      </c>
      <c r="N16" s="9" t="s">
        <v>22</v>
      </c>
      <c r="O16" s="9" t="s">
        <v>140</v>
      </c>
      <c r="P16" s="9" t="s">
        <v>143</v>
      </c>
      <c r="Q16" s="9" t="s">
        <v>144</v>
      </c>
      <c r="R16" s="9" t="s">
        <v>92</v>
      </c>
      <c r="S16" s="9" t="s">
        <v>145</v>
      </c>
      <c r="T16" s="9">
        <v>21.7</v>
      </c>
      <c r="U16" s="9">
        <v>33.5</v>
      </c>
      <c r="V16" s="9">
        <v>21.7</v>
      </c>
      <c r="W16" s="9">
        <f>U16-V16</f>
        <v>11.8</v>
      </c>
      <c r="X16" s="9" t="s">
        <v>28</v>
      </c>
    </row>
    <row r="17" spans="1:24" ht="15.3" x14ac:dyDescent="0.45">
      <c r="A17" s="9">
        <v>16</v>
      </c>
      <c r="B17" s="9" t="s">
        <v>102</v>
      </c>
      <c r="C17" s="9">
        <v>90</v>
      </c>
      <c r="D17" s="9" t="s">
        <v>146</v>
      </c>
      <c r="E17" s="9">
        <v>1502</v>
      </c>
      <c r="F17" s="9" t="s">
        <v>104</v>
      </c>
      <c r="G17" s="9" t="s">
        <v>147</v>
      </c>
      <c r="H17" s="9" t="s">
        <v>148</v>
      </c>
      <c r="I17" s="9" t="s">
        <v>149</v>
      </c>
      <c r="J17" s="9" t="s">
        <v>18</v>
      </c>
      <c r="K17" s="9" t="s">
        <v>50</v>
      </c>
      <c r="L17" s="9" t="s">
        <v>51</v>
      </c>
      <c r="M17" s="9" t="s">
        <v>52</v>
      </c>
      <c r="N17" s="9" t="s">
        <v>22</v>
      </c>
      <c r="O17" s="9" t="s">
        <v>150</v>
      </c>
      <c r="P17" s="9" t="s">
        <v>151</v>
      </c>
      <c r="Q17" s="9" t="s">
        <v>152</v>
      </c>
      <c r="R17" s="9" t="s">
        <v>92</v>
      </c>
      <c r="S17" s="9" t="s">
        <v>93</v>
      </c>
      <c r="T17" s="18">
        <v>19.8</v>
      </c>
      <c r="U17" s="9">
        <v>100</v>
      </c>
      <c r="V17" s="9">
        <v>19.8</v>
      </c>
      <c r="W17" s="9">
        <f>U17-V17</f>
        <v>80.2</v>
      </c>
      <c r="X17" s="9" t="s">
        <v>28</v>
      </c>
    </row>
    <row r="18" spans="1:24" ht="15.3" x14ac:dyDescent="0.45">
      <c r="A18" s="9">
        <v>17</v>
      </c>
      <c r="B18" s="9" t="s">
        <v>153</v>
      </c>
      <c r="C18" s="9">
        <v>90</v>
      </c>
      <c r="D18" s="9" t="s">
        <v>154</v>
      </c>
      <c r="E18" s="9">
        <v>1601</v>
      </c>
      <c r="F18" s="9" t="s">
        <v>104</v>
      </c>
      <c r="G18" s="9" t="s">
        <v>155</v>
      </c>
      <c r="H18" s="9" t="s">
        <v>156</v>
      </c>
      <c r="I18" s="9" t="s">
        <v>149</v>
      </c>
      <c r="J18" s="9" t="s">
        <v>18</v>
      </c>
      <c r="K18" s="9" t="s">
        <v>50</v>
      </c>
      <c r="L18" s="9" t="s">
        <v>51</v>
      </c>
      <c r="M18" s="9" t="s">
        <v>52</v>
      </c>
      <c r="N18" s="9" t="s">
        <v>22</v>
      </c>
      <c r="O18" s="9" t="s">
        <v>150</v>
      </c>
      <c r="P18" s="9" t="s">
        <v>157</v>
      </c>
      <c r="Q18" s="9" t="s">
        <v>158</v>
      </c>
      <c r="R18" s="9" t="s">
        <v>92</v>
      </c>
      <c r="S18" s="9" t="s">
        <v>93</v>
      </c>
      <c r="T18" s="7">
        <v>19.8</v>
      </c>
      <c r="U18" s="9">
        <v>100</v>
      </c>
      <c r="V18" s="9">
        <v>19.8</v>
      </c>
      <c r="W18" s="9">
        <f>U18-V18</f>
        <v>80.2</v>
      </c>
      <c r="X18" s="9" t="s">
        <v>28</v>
      </c>
    </row>
    <row r="19" spans="1:24" ht="15.3" x14ac:dyDescent="0.45">
      <c r="A19" s="9">
        <v>18</v>
      </c>
      <c r="B19" s="9" t="s">
        <v>102</v>
      </c>
      <c r="C19" s="9">
        <v>90</v>
      </c>
      <c r="D19" s="9" t="s">
        <v>159</v>
      </c>
      <c r="E19" s="9">
        <v>1502</v>
      </c>
      <c r="F19" s="9" t="s">
        <v>104</v>
      </c>
      <c r="G19" s="9" t="s">
        <v>160</v>
      </c>
      <c r="H19" s="9" t="s">
        <v>161</v>
      </c>
      <c r="I19" s="9" t="s">
        <v>162</v>
      </c>
      <c r="J19" s="9" t="s">
        <v>18</v>
      </c>
      <c r="K19" s="9" t="s">
        <v>58</v>
      </c>
      <c r="L19" s="9" t="s">
        <v>58</v>
      </c>
      <c r="M19" s="9" t="s">
        <v>58</v>
      </c>
      <c r="N19" s="9" t="s">
        <v>22</v>
      </c>
      <c r="O19" s="9" t="s">
        <v>150</v>
      </c>
      <c r="P19" s="9" t="s">
        <v>163</v>
      </c>
      <c r="Q19" s="9" t="s">
        <v>158</v>
      </c>
      <c r="R19" s="9" t="s">
        <v>92</v>
      </c>
      <c r="S19" s="9" t="s">
        <v>80</v>
      </c>
      <c r="T19" s="18">
        <v>21.6</v>
      </c>
      <c r="U19" s="9">
        <v>200</v>
      </c>
      <c r="V19" s="9">
        <v>39.6</v>
      </c>
      <c r="W19" s="9">
        <f>U19-V19</f>
        <v>160.4</v>
      </c>
      <c r="X19" s="9" t="s">
        <v>28</v>
      </c>
    </row>
    <row r="20" spans="1:24" ht="15.3" x14ac:dyDescent="0.45">
      <c r="A20" s="9">
        <v>19</v>
      </c>
      <c r="B20" s="9" t="s">
        <v>108</v>
      </c>
      <c r="C20" s="9">
        <v>90</v>
      </c>
      <c r="D20" s="9" t="s">
        <v>164</v>
      </c>
      <c r="E20" s="9">
        <v>4701</v>
      </c>
      <c r="F20" s="9" t="s">
        <v>104</v>
      </c>
      <c r="G20" s="9" t="s">
        <v>165</v>
      </c>
      <c r="H20" s="9" t="s">
        <v>166</v>
      </c>
      <c r="I20" s="9" t="s">
        <v>167</v>
      </c>
      <c r="J20" s="9" t="s">
        <v>18</v>
      </c>
      <c r="K20" s="9" t="s">
        <v>58</v>
      </c>
      <c r="L20" s="9" t="s">
        <v>58</v>
      </c>
      <c r="M20" s="9" t="s">
        <v>58</v>
      </c>
      <c r="N20" s="9" t="s">
        <v>168</v>
      </c>
      <c r="O20" s="9" t="s">
        <v>169</v>
      </c>
      <c r="P20" s="9" t="s">
        <v>170</v>
      </c>
      <c r="Q20" s="9" t="s">
        <v>171</v>
      </c>
      <c r="R20" s="9" t="s">
        <v>92</v>
      </c>
      <c r="S20" s="9" t="s">
        <v>37</v>
      </c>
      <c r="T20" s="18">
        <v>297</v>
      </c>
      <c r="U20" s="9">
        <v>2300</v>
      </c>
      <c r="V20" s="9">
        <v>297</v>
      </c>
      <c r="W20" s="9">
        <f>U20-V20</f>
        <v>2003</v>
      </c>
      <c r="X20" s="9" t="s">
        <v>28</v>
      </c>
    </row>
    <row r="21" spans="1:24" ht="15.3" x14ac:dyDescent="0.45">
      <c r="A21" s="9">
        <v>20</v>
      </c>
      <c r="B21" s="9" t="s">
        <v>172</v>
      </c>
      <c r="C21" s="9">
        <v>90</v>
      </c>
      <c r="D21" s="9" t="s">
        <v>164</v>
      </c>
      <c r="E21" s="9">
        <v>4747</v>
      </c>
      <c r="F21" s="9" t="s">
        <v>106</v>
      </c>
      <c r="G21" s="9" t="s">
        <v>173</v>
      </c>
      <c r="H21" s="9" t="s">
        <v>174</v>
      </c>
      <c r="I21" s="9" t="s">
        <v>175</v>
      </c>
      <c r="J21" s="9" t="s">
        <v>18</v>
      </c>
      <c r="K21" s="9" t="s">
        <v>50</v>
      </c>
      <c r="L21" s="9" t="s">
        <v>52</v>
      </c>
      <c r="M21" s="9" t="s">
        <v>33</v>
      </c>
      <c r="N21" s="9" t="s">
        <v>22</v>
      </c>
      <c r="O21" s="9" t="s">
        <v>176</v>
      </c>
      <c r="P21" s="9" t="s">
        <v>177</v>
      </c>
      <c r="Q21" s="9" t="s">
        <v>171</v>
      </c>
      <c r="R21" s="9" t="s">
        <v>26</v>
      </c>
      <c r="S21" s="9" t="s">
        <v>45</v>
      </c>
      <c r="T21" s="18">
        <v>3</v>
      </c>
      <c r="U21" s="9">
        <v>500</v>
      </c>
      <c r="V21" s="9">
        <v>3</v>
      </c>
      <c r="W21" s="9">
        <f>U21-V21</f>
        <v>497</v>
      </c>
      <c r="X21" s="9" t="s">
        <v>28</v>
      </c>
    </row>
    <row r="22" spans="1:24" ht="15.3" x14ac:dyDescent="0.45">
      <c r="A22" s="9">
        <v>21</v>
      </c>
      <c r="B22" s="9" t="s">
        <v>108</v>
      </c>
      <c r="C22" s="9">
        <v>90</v>
      </c>
      <c r="D22" s="9" t="s">
        <v>178</v>
      </c>
      <c r="E22" s="9">
        <v>1601</v>
      </c>
      <c r="F22" s="9" t="s">
        <v>104</v>
      </c>
      <c r="G22" s="9" t="s">
        <v>179</v>
      </c>
      <c r="H22" s="9" t="s">
        <v>180</v>
      </c>
      <c r="I22" s="9" t="s">
        <v>181</v>
      </c>
      <c r="J22" s="9" t="s">
        <v>18</v>
      </c>
      <c r="K22" s="9" t="s">
        <v>58</v>
      </c>
      <c r="L22" s="9" t="s">
        <v>58</v>
      </c>
      <c r="M22" s="9" t="s">
        <v>58</v>
      </c>
      <c r="N22" s="9" t="s">
        <v>22</v>
      </c>
      <c r="O22" s="9" t="s">
        <v>176</v>
      </c>
      <c r="P22" s="9" t="s">
        <v>182</v>
      </c>
      <c r="Q22" s="9" t="s">
        <v>171</v>
      </c>
      <c r="R22" s="9" t="s">
        <v>92</v>
      </c>
      <c r="S22" s="9" t="s">
        <v>93</v>
      </c>
      <c r="T22" s="7">
        <v>9</v>
      </c>
      <c r="U22" s="9">
        <v>200</v>
      </c>
      <c r="V22" s="9">
        <v>9</v>
      </c>
      <c r="W22" s="9">
        <f>U22-V22</f>
        <v>191</v>
      </c>
      <c r="X22" s="9" t="s">
        <v>28</v>
      </c>
    </row>
    <row r="23" spans="1:24" ht="15.3" x14ac:dyDescent="0.45">
      <c r="A23" s="9">
        <v>22</v>
      </c>
      <c r="B23" s="9" t="s">
        <v>108</v>
      </c>
      <c r="C23" s="9">
        <v>90</v>
      </c>
      <c r="D23" s="9" t="s">
        <v>178</v>
      </c>
      <c r="E23" s="9">
        <v>1601</v>
      </c>
      <c r="F23" s="9" t="s">
        <v>104</v>
      </c>
      <c r="G23" s="9" t="s">
        <v>179</v>
      </c>
      <c r="H23" s="9" t="s">
        <v>183</v>
      </c>
      <c r="I23" s="9" t="s">
        <v>184</v>
      </c>
      <c r="J23" s="9" t="s">
        <v>18</v>
      </c>
      <c r="K23" s="9" t="s">
        <v>58</v>
      </c>
      <c r="L23" s="9" t="s">
        <v>58</v>
      </c>
      <c r="M23" s="9" t="s">
        <v>58</v>
      </c>
      <c r="N23" s="9" t="s">
        <v>22</v>
      </c>
      <c r="O23" s="9" t="s">
        <v>176</v>
      </c>
      <c r="P23" s="9" t="s">
        <v>185</v>
      </c>
      <c r="Q23" s="9" t="s">
        <v>171</v>
      </c>
      <c r="R23" s="9" t="s">
        <v>92</v>
      </c>
      <c r="S23" s="9" t="s">
        <v>93</v>
      </c>
      <c r="T23" s="7">
        <v>9</v>
      </c>
      <c r="U23" s="9">
        <v>200</v>
      </c>
      <c r="V23" s="9">
        <v>18</v>
      </c>
      <c r="W23" s="9">
        <f>U23-V23</f>
        <v>182</v>
      </c>
      <c r="X23" s="9" t="s">
        <v>28</v>
      </c>
    </row>
    <row r="24" spans="1:24" ht="15.3" x14ac:dyDescent="0.45">
      <c r="A24" s="9">
        <v>23</v>
      </c>
      <c r="B24" s="9" t="s">
        <v>108</v>
      </c>
      <c r="C24" s="9">
        <v>90</v>
      </c>
      <c r="D24" s="9" t="s">
        <v>178</v>
      </c>
      <c r="E24" s="9">
        <v>1601</v>
      </c>
      <c r="F24" s="9" t="s">
        <v>104</v>
      </c>
      <c r="G24" s="9" t="s">
        <v>179</v>
      </c>
      <c r="H24" s="9" t="s">
        <v>490</v>
      </c>
      <c r="I24" s="9" t="s">
        <v>184</v>
      </c>
      <c r="J24" s="9" t="s">
        <v>18</v>
      </c>
      <c r="K24" s="9" t="s">
        <v>19</v>
      </c>
      <c r="L24" s="9" t="s">
        <v>20</v>
      </c>
      <c r="M24" s="9" t="s">
        <v>21</v>
      </c>
      <c r="N24" s="9" t="s">
        <v>22</v>
      </c>
      <c r="O24" s="9" t="s">
        <v>176</v>
      </c>
      <c r="P24" s="9" t="s">
        <v>185</v>
      </c>
      <c r="Q24" s="9" t="s">
        <v>171</v>
      </c>
      <c r="R24" s="9" t="s">
        <v>26</v>
      </c>
      <c r="S24" s="9" t="s">
        <v>80</v>
      </c>
      <c r="T24" s="9">
        <v>0.6</v>
      </c>
      <c r="U24" s="9">
        <v>100</v>
      </c>
      <c r="V24" s="9">
        <v>0.6</v>
      </c>
      <c r="W24" s="9">
        <f>U24-V24</f>
        <v>99.4</v>
      </c>
      <c r="X24" s="9" t="s">
        <v>28</v>
      </c>
    </row>
    <row r="25" spans="1:24" ht="15.3" x14ac:dyDescent="0.45">
      <c r="A25" s="9">
        <v>25</v>
      </c>
      <c r="B25" s="9" t="s">
        <v>102</v>
      </c>
      <c r="C25" s="9">
        <v>90</v>
      </c>
      <c r="D25" s="9" t="s">
        <v>186</v>
      </c>
      <c r="E25" s="9">
        <v>1502</v>
      </c>
      <c r="F25" s="9" t="s">
        <v>104</v>
      </c>
      <c r="G25" s="9" t="s">
        <v>134</v>
      </c>
      <c r="H25" s="9" t="s">
        <v>187</v>
      </c>
      <c r="I25" s="9" t="s">
        <v>188</v>
      </c>
      <c r="J25" s="9" t="s">
        <v>18</v>
      </c>
      <c r="K25" s="9" t="s">
        <v>58</v>
      </c>
      <c r="L25" s="9" t="s">
        <v>58</v>
      </c>
      <c r="M25" s="9" t="s">
        <v>58</v>
      </c>
      <c r="N25" s="9" t="s">
        <v>22</v>
      </c>
      <c r="O25" s="9" t="s">
        <v>53</v>
      </c>
      <c r="P25" s="9" t="s">
        <v>189</v>
      </c>
      <c r="Q25" s="9" t="s">
        <v>55</v>
      </c>
      <c r="R25" s="9" t="s">
        <v>26</v>
      </c>
      <c r="S25" s="9" t="s">
        <v>27</v>
      </c>
      <c r="T25" s="18">
        <v>5</v>
      </c>
      <c r="U25" s="9">
        <v>200</v>
      </c>
      <c r="V25" s="9">
        <v>44.6</v>
      </c>
      <c r="W25" s="9">
        <f>U25-V25</f>
        <v>155.4</v>
      </c>
      <c r="X25" s="9" t="s">
        <v>28</v>
      </c>
    </row>
    <row r="26" spans="1:24" ht="15.3" x14ac:dyDescent="0.45">
      <c r="A26" s="9">
        <v>26</v>
      </c>
      <c r="B26" s="9" t="s">
        <v>172</v>
      </c>
      <c r="C26" s="9">
        <v>90</v>
      </c>
      <c r="D26" s="9" t="s">
        <v>190</v>
      </c>
      <c r="E26" s="9">
        <v>4701</v>
      </c>
      <c r="F26" s="9" t="s">
        <v>104</v>
      </c>
      <c r="G26" s="9" t="s">
        <v>191</v>
      </c>
      <c r="H26" s="9" t="s">
        <v>192</v>
      </c>
      <c r="I26" s="9" t="s">
        <v>193</v>
      </c>
      <c r="J26" s="9" t="s">
        <v>18</v>
      </c>
      <c r="K26" s="9" t="s">
        <v>58</v>
      </c>
      <c r="L26" s="9" t="s">
        <v>58</v>
      </c>
      <c r="M26" s="9" t="s">
        <v>58</v>
      </c>
      <c r="N26" s="9" t="s">
        <v>22</v>
      </c>
      <c r="O26" s="9" t="s">
        <v>53</v>
      </c>
      <c r="P26" s="9" t="s">
        <v>194</v>
      </c>
      <c r="Q26" s="9" t="s">
        <v>55</v>
      </c>
      <c r="R26" s="9" t="s">
        <v>92</v>
      </c>
      <c r="S26" s="9" t="s">
        <v>97</v>
      </c>
      <c r="T26" s="18">
        <v>60</v>
      </c>
      <c r="U26" s="9">
        <v>2300</v>
      </c>
      <c r="V26" s="9">
        <v>357</v>
      </c>
      <c r="W26" s="9">
        <f>U26-V26</f>
        <v>1943</v>
      </c>
      <c r="X26" s="9" t="s">
        <v>28</v>
      </c>
    </row>
    <row r="27" spans="1:24" ht="15.3" x14ac:dyDescent="0.45">
      <c r="A27" s="9">
        <v>27</v>
      </c>
      <c r="B27" s="9" t="s">
        <v>105</v>
      </c>
      <c r="C27" s="9">
        <v>90</v>
      </c>
      <c r="D27" s="9" t="s">
        <v>195</v>
      </c>
      <c r="E27" s="9">
        <v>4705</v>
      </c>
      <c r="F27" s="9" t="s">
        <v>106</v>
      </c>
      <c r="G27" s="9" t="s">
        <v>196</v>
      </c>
      <c r="H27" s="9" t="s">
        <v>197</v>
      </c>
      <c r="I27" s="9" t="s">
        <v>175</v>
      </c>
      <c r="J27" s="9" t="s">
        <v>18</v>
      </c>
      <c r="K27" s="9" t="s">
        <v>50</v>
      </c>
      <c r="L27" s="9" t="s">
        <v>52</v>
      </c>
      <c r="M27" s="9" t="s">
        <v>33</v>
      </c>
      <c r="N27" s="9" t="s">
        <v>22</v>
      </c>
      <c r="O27" s="9" t="s">
        <v>53</v>
      </c>
      <c r="P27" s="9" t="s">
        <v>198</v>
      </c>
      <c r="Q27" s="9" t="s">
        <v>55</v>
      </c>
      <c r="R27" s="9" t="s">
        <v>26</v>
      </c>
      <c r="S27" s="9" t="s">
        <v>199</v>
      </c>
      <c r="T27" s="18">
        <v>1.5</v>
      </c>
      <c r="U27" s="9">
        <v>600</v>
      </c>
      <c r="V27" s="9">
        <v>1.5</v>
      </c>
      <c r="W27" s="9">
        <f>U27-V27</f>
        <v>598.5</v>
      </c>
      <c r="X27" s="9" t="s">
        <v>28</v>
      </c>
    </row>
    <row r="28" spans="1:24" ht="15.3" x14ac:dyDescent="0.45">
      <c r="A28" s="9">
        <v>28</v>
      </c>
      <c r="B28" s="9" t="s">
        <v>105</v>
      </c>
      <c r="C28" s="9">
        <v>90</v>
      </c>
      <c r="D28" s="9" t="s">
        <v>195</v>
      </c>
      <c r="E28" s="9">
        <v>4705</v>
      </c>
      <c r="F28" s="9" t="s">
        <v>106</v>
      </c>
      <c r="G28" s="9" t="s">
        <v>200</v>
      </c>
      <c r="H28" s="9" t="s">
        <v>201</v>
      </c>
      <c r="I28" s="9" t="s">
        <v>175</v>
      </c>
      <c r="J28" s="9" t="s">
        <v>18</v>
      </c>
      <c r="K28" s="9" t="s">
        <v>50</v>
      </c>
      <c r="L28" s="9" t="s">
        <v>52</v>
      </c>
      <c r="M28" s="9" t="s">
        <v>33</v>
      </c>
      <c r="N28" s="9" t="s">
        <v>22</v>
      </c>
      <c r="O28" s="9" t="s">
        <v>53</v>
      </c>
      <c r="P28" s="9" t="s">
        <v>202</v>
      </c>
      <c r="Q28" s="9" t="s">
        <v>55</v>
      </c>
      <c r="R28" s="9" t="s">
        <v>26</v>
      </c>
      <c r="S28" s="9" t="s">
        <v>199</v>
      </c>
      <c r="T28" s="18">
        <v>1.5</v>
      </c>
      <c r="U28" s="9">
        <v>600</v>
      </c>
      <c r="V28" s="9">
        <v>3</v>
      </c>
      <c r="W28" s="9">
        <f>U28-V28</f>
        <v>597</v>
      </c>
      <c r="X28" s="9" t="s">
        <v>28</v>
      </c>
    </row>
    <row r="29" spans="1:24" ht="17.100000000000001" x14ac:dyDescent="0.45">
      <c r="A29" s="9">
        <v>29</v>
      </c>
      <c r="B29" s="9" t="s">
        <v>105</v>
      </c>
      <c r="C29" s="9">
        <v>90</v>
      </c>
      <c r="D29" s="9" t="s">
        <v>195</v>
      </c>
      <c r="E29" s="9">
        <v>4705</v>
      </c>
      <c r="F29" s="9" t="s">
        <v>106</v>
      </c>
      <c r="G29" s="9" t="s">
        <v>203</v>
      </c>
      <c r="H29" s="9" t="s">
        <v>204</v>
      </c>
      <c r="I29" s="9" t="s">
        <v>175</v>
      </c>
      <c r="J29" s="9" t="s">
        <v>18</v>
      </c>
      <c r="K29" s="9" t="s">
        <v>50</v>
      </c>
      <c r="L29" s="9" t="s">
        <v>52</v>
      </c>
      <c r="M29" s="9" t="s">
        <v>33</v>
      </c>
      <c r="N29" s="9" t="s">
        <v>22</v>
      </c>
      <c r="O29" s="9" t="s">
        <v>53</v>
      </c>
      <c r="P29" s="9" t="s">
        <v>205</v>
      </c>
      <c r="Q29" s="9" t="s">
        <v>55</v>
      </c>
      <c r="R29" s="9" t="s">
        <v>26</v>
      </c>
      <c r="S29" s="9" t="s">
        <v>199</v>
      </c>
      <c r="T29" s="18">
        <v>1.5</v>
      </c>
      <c r="U29" s="9">
        <v>600</v>
      </c>
      <c r="V29" s="9">
        <v>4.5</v>
      </c>
      <c r="W29" s="9">
        <f>U29-V29</f>
        <v>595.5</v>
      </c>
      <c r="X29" s="9" t="s">
        <v>28</v>
      </c>
    </row>
    <row r="30" spans="1:24" ht="15.3" x14ac:dyDescent="0.45">
      <c r="A30" s="9">
        <v>30</v>
      </c>
      <c r="B30" s="9" t="s">
        <v>105</v>
      </c>
      <c r="C30" s="9">
        <v>90</v>
      </c>
      <c r="D30" s="9" t="s">
        <v>195</v>
      </c>
      <c r="E30" s="9">
        <v>4705</v>
      </c>
      <c r="F30" s="9" t="s">
        <v>106</v>
      </c>
      <c r="G30" s="9" t="s">
        <v>206</v>
      </c>
      <c r="H30" s="9" t="s">
        <v>207</v>
      </c>
      <c r="I30" s="9" t="s">
        <v>175</v>
      </c>
      <c r="J30" s="9" t="s">
        <v>18</v>
      </c>
      <c r="K30" s="9" t="s">
        <v>50</v>
      </c>
      <c r="L30" s="9" t="s">
        <v>52</v>
      </c>
      <c r="M30" s="9" t="s">
        <v>33</v>
      </c>
      <c r="N30" s="9" t="s">
        <v>22</v>
      </c>
      <c r="O30" s="9" t="s">
        <v>53</v>
      </c>
      <c r="P30" s="9" t="s">
        <v>208</v>
      </c>
      <c r="Q30" s="9" t="s">
        <v>55</v>
      </c>
      <c r="R30" s="9" t="s">
        <v>26</v>
      </c>
      <c r="S30" s="9" t="s">
        <v>199</v>
      </c>
      <c r="T30" s="18">
        <v>1.5</v>
      </c>
      <c r="U30" s="9">
        <v>600</v>
      </c>
      <c r="V30" s="9">
        <v>6</v>
      </c>
      <c r="W30" s="9">
        <f>U30-V30</f>
        <v>594</v>
      </c>
      <c r="X30" s="9" t="s">
        <v>28</v>
      </c>
    </row>
    <row r="31" spans="1:24" ht="15.3" x14ac:dyDescent="0.45">
      <c r="A31" s="9">
        <v>31</v>
      </c>
      <c r="B31" s="9" t="s">
        <v>105</v>
      </c>
      <c r="C31" s="9">
        <v>90</v>
      </c>
      <c r="D31" s="9" t="s">
        <v>195</v>
      </c>
      <c r="E31" s="9">
        <v>4705</v>
      </c>
      <c r="F31" s="9" t="s">
        <v>106</v>
      </c>
      <c r="G31" s="9" t="s">
        <v>209</v>
      </c>
      <c r="H31" s="9" t="s">
        <v>210</v>
      </c>
      <c r="I31" s="9" t="s">
        <v>175</v>
      </c>
      <c r="J31" s="9" t="s">
        <v>18</v>
      </c>
      <c r="K31" s="9" t="s">
        <v>50</v>
      </c>
      <c r="L31" s="9" t="s">
        <v>52</v>
      </c>
      <c r="M31" s="9" t="s">
        <v>33</v>
      </c>
      <c r="N31" s="9" t="s">
        <v>22</v>
      </c>
      <c r="O31" s="9" t="s">
        <v>53</v>
      </c>
      <c r="P31" s="9" t="s">
        <v>211</v>
      </c>
      <c r="Q31" s="9" t="s">
        <v>55</v>
      </c>
      <c r="R31" s="9" t="s">
        <v>26</v>
      </c>
      <c r="S31" s="9" t="s">
        <v>199</v>
      </c>
      <c r="T31" s="18">
        <v>1.5</v>
      </c>
      <c r="U31" s="9">
        <v>600</v>
      </c>
      <c r="V31" s="9">
        <v>7.5</v>
      </c>
      <c r="W31" s="9">
        <f>U31-V31</f>
        <v>592.5</v>
      </c>
      <c r="X31" s="9" t="s">
        <v>28</v>
      </c>
    </row>
    <row r="32" spans="1:24" ht="15.3" x14ac:dyDescent="0.45">
      <c r="A32" s="7">
        <v>32</v>
      </c>
      <c r="B32" s="7" t="s">
        <v>102</v>
      </c>
      <c r="C32" s="7">
        <v>90</v>
      </c>
      <c r="D32" s="7" t="s">
        <v>212</v>
      </c>
      <c r="E32" s="7">
        <v>1502</v>
      </c>
      <c r="F32" s="7" t="s">
        <v>104</v>
      </c>
      <c r="G32" s="7" t="s">
        <v>15</v>
      </c>
      <c r="H32" s="7" t="s">
        <v>213</v>
      </c>
      <c r="I32" s="7" t="s">
        <v>214</v>
      </c>
      <c r="J32" s="7" t="s">
        <v>18</v>
      </c>
      <c r="K32" s="7" t="s">
        <v>58</v>
      </c>
      <c r="L32" s="7" t="s">
        <v>58</v>
      </c>
      <c r="M32" s="9" t="s">
        <v>58</v>
      </c>
      <c r="N32" s="9" t="s">
        <v>22</v>
      </c>
      <c r="O32" s="7" t="s">
        <v>215</v>
      </c>
      <c r="P32" s="7" t="s">
        <v>216</v>
      </c>
      <c r="Q32" s="7" t="s">
        <v>217</v>
      </c>
      <c r="R32" s="7" t="s">
        <v>92</v>
      </c>
      <c r="S32" s="9" t="s">
        <v>86</v>
      </c>
      <c r="T32" s="7">
        <v>32.4</v>
      </c>
      <c r="U32" s="7">
        <v>200</v>
      </c>
      <c r="V32" s="7">
        <v>77</v>
      </c>
      <c r="W32" s="7">
        <f>U32-V32</f>
        <v>123</v>
      </c>
      <c r="X32" s="7" t="s">
        <v>28</v>
      </c>
    </row>
    <row r="33" spans="1:24" ht="15.3" x14ac:dyDescent="0.45">
      <c r="A33" s="9">
        <v>33</v>
      </c>
      <c r="B33" s="9" t="s">
        <v>102</v>
      </c>
      <c r="C33" s="9">
        <v>90</v>
      </c>
      <c r="D33" s="9" t="s">
        <v>212</v>
      </c>
      <c r="E33" s="9">
        <v>1502</v>
      </c>
      <c r="F33" s="9" t="s">
        <v>104</v>
      </c>
      <c r="G33" s="9" t="s">
        <v>218</v>
      </c>
      <c r="H33" s="9" t="s">
        <v>219</v>
      </c>
      <c r="I33" s="9" t="s">
        <v>220</v>
      </c>
      <c r="J33" s="9" t="s">
        <v>18</v>
      </c>
      <c r="K33" s="9" t="s">
        <v>58</v>
      </c>
      <c r="L33" s="9" t="s">
        <v>58</v>
      </c>
      <c r="M33" s="9" t="s">
        <v>58</v>
      </c>
      <c r="N33" s="9" t="s">
        <v>22</v>
      </c>
      <c r="O33" s="9">
        <v>33215</v>
      </c>
      <c r="P33" s="9" t="s">
        <v>221</v>
      </c>
      <c r="Q33" s="9">
        <v>33222</v>
      </c>
      <c r="R33" s="9" t="s">
        <v>92</v>
      </c>
      <c r="S33" s="9">
        <v>1.5</v>
      </c>
      <c r="T33" s="18">
        <v>16.2</v>
      </c>
      <c r="U33" s="9">
        <v>200</v>
      </c>
      <c r="V33" s="9">
        <v>93.2</v>
      </c>
      <c r="W33" s="9">
        <f>U33-V33</f>
        <v>106.8</v>
      </c>
      <c r="X33" s="9" t="s">
        <v>28</v>
      </c>
    </row>
    <row r="34" spans="1:24" ht="15.3" x14ac:dyDescent="0.45">
      <c r="A34" s="9">
        <v>34</v>
      </c>
      <c r="B34" s="9" t="s">
        <v>102</v>
      </c>
      <c r="C34" s="9">
        <v>91</v>
      </c>
      <c r="D34" s="9" t="s">
        <v>222</v>
      </c>
      <c r="E34" s="9">
        <v>1502</v>
      </c>
      <c r="F34" s="9" t="s">
        <v>104</v>
      </c>
      <c r="G34" s="9" t="s">
        <v>218</v>
      </c>
      <c r="H34" s="9" t="s">
        <v>223</v>
      </c>
      <c r="I34" s="9" t="s">
        <v>224</v>
      </c>
      <c r="J34" s="9" t="s">
        <v>18</v>
      </c>
      <c r="K34" s="9" t="s">
        <v>58</v>
      </c>
      <c r="L34" s="9" t="s">
        <v>137</v>
      </c>
      <c r="M34" s="9" t="s">
        <v>58</v>
      </c>
      <c r="N34" s="9" t="s">
        <v>22</v>
      </c>
      <c r="O34" s="9">
        <v>33228</v>
      </c>
      <c r="P34" s="9" t="s">
        <v>225</v>
      </c>
      <c r="Q34" s="9">
        <v>33254</v>
      </c>
      <c r="R34" s="9" t="s">
        <v>26</v>
      </c>
      <c r="S34" s="9">
        <v>0.01</v>
      </c>
      <c r="T34" s="18">
        <v>0.2</v>
      </c>
      <c r="U34" s="9">
        <v>200</v>
      </c>
      <c r="V34" s="9">
        <v>93.4</v>
      </c>
      <c r="W34" s="9">
        <f>U34-V34</f>
        <v>106.6</v>
      </c>
      <c r="X34" s="9" t="s">
        <v>28</v>
      </c>
    </row>
    <row r="35" spans="1:24" ht="15.3" x14ac:dyDescent="0.45">
      <c r="A35" s="9">
        <v>35</v>
      </c>
      <c r="B35" s="9" t="s">
        <v>172</v>
      </c>
      <c r="C35" s="9">
        <v>91</v>
      </c>
      <c r="D35" s="9">
        <v>33216</v>
      </c>
      <c r="E35" s="9">
        <v>4748</v>
      </c>
      <c r="F35" s="9" t="s">
        <v>104</v>
      </c>
      <c r="G35" s="9" t="s">
        <v>226</v>
      </c>
      <c r="H35" s="9" t="s">
        <v>227</v>
      </c>
      <c r="I35" s="9" t="s">
        <v>175</v>
      </c>
      <c r="J35" s="9" t="s">
        <v>18</v>
      </c>
      <c r="K35" s="9" t="s">
        <v>50</v>
      </c>
      <c r="L35" s="9" t="s">
        <v>52</v>
      </c>
      <c r="M35" s="9" t="s">
        <v>33</v>
      </c>
      <c r="N35" s="9" t="s">
        <v>22</v>
      </c>
      <c r="O35" s="9">
        <v>33228</v>
      </c>
      <c r="P35" s="9" t="s">
        <v>228</v>
      </c>
      <c r="Q35" s="9">
        <v>33254</v>
      </c>
      <c r="R35" s="9" t="s">
        <v>26</v>
      </c>
      <c r="S35" s="9">
        <v>10</v>
      </c>
      <c r="T35" s="18">
        <v>3</v>
      </c>
      <c r="U35" s="9">
        <v>100</v>
      </c>
      <c r="V35" s="9">
        <v>3</v>
      </c>
      <c r="W35" s="9">
        <f>U35-V35</f>
        <v>97</v>
      </c>
      <c r="X35" s="9" t="s">
        <v>28</v>
      </c>
    </row>
    <row r="36" spans="1:24" ht="15.3" x14ac:dyDescent="0.45">
      <c r="A36" s="9">
        <v>36</v>
      </c>
      <c r="B36" s="9" t="s">
        <v>111</v>
      </c>
      <c r="C36" s="9">
        <v>91</v>
      </c>
      <c r="D36" s="9">
        <v>33261</v>
      </c>
      <c r="E36" s="9">
        <v>4704</v>
      </c>
      <c r="F36" s="9" t="s">
        <v>106</v>
      </c>
      <c r="G36" s="9" t="s">
        <v>229</v>
      </c>
      <c r="H36" s="9" t="s">
        <v>230</v>
      </c>
      <c r="I36" s="9" t="s">
        <v>231</v>
      </c>
      <c r="J36" s="9" t="s">
        <v>70</v>
      </c>
      <c r="K36" s="9" t="s">
        <v>50</v>
      </c>
      <c r="L36" s="9" t="s">
        <v>20</v>
      </c>
      <c r="M36" s="9" t="s">
        <v>21</v>
      </c>
      <c r="N36" s="9" t="s">
        <v>22</v>
      </c>
      <c r="O36" s="9">
        <v>33265</v>
      </c>
      <c r="P36" s="9" t="s">
        <v>232</v>
      </c>
      <c r="Q36" s="9">
        <v>33274</v>
      </c>
      <c r="R36" s="9" t="s">
        <v>26</v>
      </c>
      <c r="S36" s="9">
        <v>2</v>
      </c>
      <c r="T36" s="18">
        <v>0.6</v>
      </c>
      <c r="U36" s="9">
        <v>500</v>
      </c>
      <c r="V36" s="9">
        <v>2.25</v>
      </c>
      <c r="W36" s="9">
        <f>U36-V36</f>
        <v>497.75</v>
      </c>
      <c r="X36" s="9" t="s">
        <v>28</v>
      </c>
    </row>
    <row r="37" spans="1:24" ht="15.3" x14ac:dyDescent="0.45">
      <c r="A37" s="9">
        <v>37</v>
      </c>
      <c r="B37" s="9" t="s">
        <v>111</v>
      </c>
      <c r="C37" s="9">
        <v>91</v>
      </c>
      <c r="D37" s="9">
        <v>33253</v>
      </c>
      <c r="E37" s="9">
        <v>4704</v>
      </c>
      <c r="F37" s="9" t="s">
        <v>106</v>
      </c>
      <c r="G37" s="9" t="s">
        <v>229</v>
      </c>
      <c r="H37" s="9" t="s">
        <v>233</v>
      </c>
      <c r="I37" s="9" t="s">
        <v>234</v>
      </c>
      <c r="J37" s="9" t="s">
        <v>70</v>
      </c>
      <c r="K37" s="9" t="s">
        <v>50</v>
      </c>
      <c r="L37" s="9" t="s">
        <v>20</v>
      </c>
      <c r="M37" s="9" t="s">
        <v>21</v>
      </c>
      <c r="N37" s="9" t="s">
        <v>22</v>
      </c>
      <c r="O37" s="9">
        <v>33265</v>
      </c>
      <c r="P37" s="9" t="s">
        <v>235</v>
      </c>
      <c r="Q37" s="9">
        <v>33274</v>
      </c>
      <c r="R37" s="9" t="s">
        <v>26</v>
      </c>
      <c r="S37" s="9">
        <v>2</v>
      </c>
      <c r="T37" s="18">
        <v>0.6</v>
      </c>
      <c r="U37" s="9">
        <v>500</v>
      </c>
      <c r="V37" s="9">
        <v>2.85</v>
      </c>
      <c r="W37" s="9">
        <f>U37-V37</f>
        <v>497.15</v>
      </c>
      <c r="X37" s="9" t="s">
        <v>28</v>
      </c>
    </row>
    <row r="38" spans="1:24" ht="15.3" x14ac:dyDescent="0.45">
      <c r="A38" s="9">
        <v>38</v>
      </c>
      <c r="B38" s="9" t="s">
        <v>108</v>
      </c>
      <c r="C38" s="9">
        <v>91</v>
      </c>
      <c r="D38" s="9">
        <v>33258</v>
      </c>
      <c r="E38" s="9">
        <v>4732</v>
      </c>
      <c r="F38" s="9" t="s">
        <v>106</v>
      </c>
      <c r="G38" s="9" t="s">
        <v>236</v>
      </c>
      <c r="H38" s="9" t="s">
        <v>237</v>
      </c>
      <c r="I38" s="9" t="s">
        <v>238</v>
      </c>
      <c r="J38" s="9" t="s">
        <v>70</v>
      </c>
      <c r="K38" s="9" t="s">
        <v>50</v>
      </c>
      <c r="L38" s="9" t="s">
        <v>41</v>
      </c>
      <c r="M38" s="9" t="s">
        <v>21</v>
      </c>
      <c r="N38" s="9" t="s">
        <v>22</v>
      </c>
      <c r="O38" s="9">
        <v>32900</v>
      </c>
      <c r="P38" s="9" t="s">
        <v>239</v>
      </c>
      <c r="Q38" s="9">
        <v>33274</v>
      </c>
      <c r="R38" s="9" t="s">
        <v>26</v>
      </c>
      <c r="S38" s="9">
        <v>10</v>
      </c>
      <c r="T38" s="7">
        <v>3</v>
      </c>
      <c r="U38" s="9">
        <v>100</v>
      </c>
      <c r="V38" s="9">
        <v>3</v>
      </c>
      <c r="W38" s="9">
        <f>U38-V38</f>
        <v>97</v>
      </c>
      <c r="X38" s="9" t="s">
        <v>28</v>
      </c>
    </row>
    <row r="39" spans="1:24" ht="15.3" x14ac:dyDescent="0.45">
      <c r="A39" s="9">
        <v>39</v>
      </c>
      <c r="B39" s="9" t="s">
        <v>108</v>
      </c>
      <c r="C39" s="9">
        <v>91</v>
      </c>
      <c r="D39" s="9">
        <v>33273</v>
      </c>
      <c r="E39" s="9">
        <v>4749</v>
      </c>
      <c r="F39" s="9" t="s">
        <v>106</v>
      </c>
      <c r="G39" s="9" t="s">
        <v>240</v>
      </c>
      <c r="H39" s="9" t="s">
        <v>241</v>
      </c>
      <c r="I39" s="9" t="s">
        <v>49</v>
      </c>
      <c r="J39" s="9" t="s">
        <v>18</v>
      </c>
      <c r="K39" s="9" t="s">
        <v>50</v>
      </c>
      <c r="L39" s="9" t="s">
        <v>51</v>
      </c>
      <c r="M39" s="9" t="s">
        <v>52</v>
      </c>
      <c r="N39" s="9" t="s">
        <v>22</v>
      </c>
      <c r="O39" s="9" t="s">
        <v>242</v>
      </c>
      <c r="P39" s="9" t="s">
        <v>243</v>
      </c>
      <c r="Q39" s="9" t="s">
        <v>244</v>
      </c>
      <c r="R39" s="9" t="s">
        <v>245</v>
      </c>
      <c r="S39" s="9"/>
      <c r="T39" s="18">
        <v>200</v>
      </c>
      <c r="U39" s="9">
        <v>500</v>
      </c>
      <c r="V39" s="9">
        <v>200</v>
      </c>
      <c r="W39" s="9">
        <v>300</v>
      </c>
      <c r="X39" s="9" t="s">
        <v>28</v>
      </c>
    </row>
    <row r="40" spans="1:24" ht="15.3" x14ac:dyDescent="0.45">
      <c r="A40" s="9">
        <v>40</v>
      </c>
      <c r="B40" s="9" t="s">
        <v>108</v>
      </c>
      <c r="C40" s="9">
        <v>91</v>
      </c>
      <c r="D40" s="9">
        <v>33278</v>
      </c>
      <c r="E40" s="9">
        <v>4732</v>
      </c>
      <c r="F40" s="9" t="s">
        <v>106</v>
      </c>
      <c r="G40" s="9" t="s">
        <v>246</v>
      </c>
      <c r="H40" s="9" t="s">
        <v>247</v>
      </c>
      <c r="I40" s="9" t="s">
        <v>248</v>
      </c>
      <c r="J40" s="9" t="s">
        <v>70</v>
      </c>
      <c r="K40" s="9" t="s">
        <v>50</v>
      </c>
      <c r="L40" s="9" t="s">
        <v>20</v>
      </c>
      <c r="M40" s="9" t="s">
        <v>21</v>
      </c>
      <c r="N40" s="9" t="s">
        <v>22</v>
      </c>
      <c r="O40" s="9">
        <v>33285</v>
      </c>
      <c r="P40" s="9" t="s">
        <v>249</v>
      </c>
      <c r="Q40" s="9">
        <v>33278</v>
      </c>
      <c r="R40" s="9" t="s">
        <v>26</v>
      </c>
      <c r="S40" s="9">
        <v>10</v>
      </c>
      <c r="T40" s="7">
        <v>3</v>
      </c>
      <c r="U40" s="9">
        <v>100</v>
      </c>
      <c r="V40" s="9">
        <v>6</v>
      </c>
      <c r="W40" s="9">
        <f>U40-V40</f>
        <v>94</v>
      </c>
      <c r="X40" s="9" t="s">
        <v>28</v>
      </c>
    </row>
    <row r="41" spans="1:24" ht="15.3" x14ac:dyDescent="0.45">
      <c r="A41" s="9">
        <v>41</v>
      </c>
      <c r="B41" s="9" t="s">
        <v>102</v>
      </c>
      <c r="C41" s="9">
        <v>91</v>
      </c>
      <c r="D41" s="9">
        <v>33278</v>
      </c>
      <c r="E41" s="9">
        <v>1502</v>
      </c>
      <c r="F41" s="9" t="s">
        <v>104</v>
      </c>
      <c r="G41" s="9" t="s">
        <v>81</v>
      </c>
      <c r="H41" s="9" t="s">
        <v>250</v>
      </c>
      <c r="I41" s="9" t="s">
        <v>251</v>
      </c>
      <c r="J41" s="9" t="s">
        <v>18</v>
      </c>
      <c r="K41" s="9" t="s">
        <v>19</v>
      </c>
      <c r="L41" s="9" t="s">
        <v>20</v>
      </c>
      <c r="M41" s="9" t="s">
        <v>21</v>
      </c>
      <c r="N41" s="9" t="s">
        <v>22</v>
      </c>
      <c r="O41" s="9">
        <v>33285</v>
      </c>
      <c r="P41" s="9" t="s">
        <v>252</v>
      </c>
      <c r="Q41" s="9" t="s">
        <v>253</v>
      </c>
      <c r="R41" s="9" t="s">
        <v>26</v>
      </c>
      <c r="S41" s="9">
        <v>5</v>
      </c>
      <c r="T41" s="9">
        <v>1.5</v>
      </c>
      <c r="U41" s="9">
        <v>100</v>
      </c>
      <c r="V41" s="9">
        <v>12.9</v>
      </c>
      <c r="W41" s="9">
        <f>U41-V41</f>
        <v>87.1</v>
      </c>
      <c r="X41" s="9" t="s">
        <v>28</v>
      </c>
    </row>
    <row r="42" spans="1:24" ht="15.3" x14ac:dyDescent="0.45">
      <c r="A42" s="9">
        <v>42</v>
      </c>
      <c r="B42" s="9" t="s">
        <v>108</v>
      </c>
      <c r="C42" s="9">
        <v>91</v>
      </c>
      <c r="D42" s="9">
        <v>33303</v>
      </c>
      <c r="E42" s="9">
        <v>1602</v>
      </c>
      <c r="F42" s="9" t="s">
        <v>106</v>
      </c>
      <c r="G42" s="9" t="s">
        <v>179</v>
      </c>
      <c r="H42" s="9" t="s">
        <v>254</v>
      </c>
      <c r="I42" s="9" t="s">
        <v>49</v>
      </c>
      <c r="J42" s="9" t="s">
        <v>18</v>
      </c>
      <c r="K42" s="9" t="s">
        <v>50</v>
      </c>
      <c r="L42" s="9" t="s">
        <v>51</v>
      </c>
      <c r="M42" s="9" t="s">
        <v>52</v>
      </c>
      <c r="N42" s="9" t="s">
        <v>22</v>
      </c>
      <c r="O42" s="9">
        <v>33318</v>
      </c>
      <c r="P42" s="9" t="s">
        <v>255</v>
      </c>
      <c r="Q42" s="9">
        <v>33293</v>
      </c>
      <c r="R42" s="9" t="s">
        <v>92</v>
      </c>
      <c r="S42" s="9">
        <v>4</v>
      </c>
      <c r="T42" s="7">
        <v>79.2</v>
      </c>
      <c r="U42" s="9">
        <v>100</v>
      </c>
      <c r="V42" s="9">
        <v>79.2</v>
      </c>
      <c r="W42" s="9">
        <f>U42-V42</f>
        <v>20.799999999999997</v>
      </c>
      <c r="X42" s="9" t="s">
        <v>28</v>
      </c>
    </row>
    <row r="43" spans="1:24" ht="15.3" x14ac:dyDescent="0.45">
      <c r="A43" s="9">
        <v>43</v>
      </c>
      <c r="B43" s="9" t="s">
        <v>172</v>
      </c>
      <c r="C43" s="9">
        <v>91</v>
      </c>
      <c r="D43" s="9">
        <v>33314</v>
      </c>
      <c r="E43" s="9">
        <v>4747</v>
      </c>
      <c r="F43" s="9" t="s">
        <v>106</v>
      </c>
      <c r="G43" s="9" t="s">
        <v>256</v>
      </c>
      <c r="H43" s="9" t="s">
        <v>257</v>
      </c>
      <c r="I43" s="9" t="s">
        <v>49</v>
      </c>
      <c r="J43" s="9" t="s">
        <v>18</v>
      </c>
      <c r="K43" s="9" t="s">
        <v>50</v>
      </c>
      <c r="L43" s="9" t="s">
        <v>51</v>
      </c>
      <c r="M43" s="9" t="s">
        <v>52</v>
      </c>
      <c r="N43" s="9" t="s">
        <v>22</v>
      </c>
      <c r="O43" s="9">
        <v>33318</v>
      </c>
      <c r="P43" s="9" t="s">
        <v>258</v>
      </c>
      <c r="Q43" s="9">
        <v>33321</v>
      </c>
      <c r="R43" s="9" t="s">
        <v>92</v>
      </c>
      <c r="S43" s="9">
        <v>4</v>
      </c>
      <c r="T43" s="18">
        <v>79.2</v>
      </c>
      <c r="U43" s="9">
        <v>500</v>
      </c>
      <c r="V43" s="9">
        <v>82.2</v>
      </c>
      <c r="W43" s="9">
        <f>U43-V43</f>
        <v>417.8</v>
      </c>
      <c r="X43" s="9" t="s">
        <v>28</v>
      </c>
    </row>
    <row r="44" spans="1:24" ht="15.3" x14ac:dyDescent="0.45">
      <c r="A44" s="9">
        <v>44</v>
      </c>
      <c r="B44" s="9" t="s">
        <v>108</v>
      </c>
      <c r="C44" s="9">
        <v>91</v>
      </c>
      <c r="D44" s="9">
        <v>33278</v>
      </c>
      <c r="E44" s="9">
        <v>4746</v>
      </c>
      <c r="F44" s="9" t="s">
        <v>106</v>
      </c>
      <c r="G44" s="9" t="s">
        <v>259</v>
      </c>
      <c r="H44" s="9" t="s">
        <v>260</v>
      </c>
      <c r="I44" s="9" t="s">
        <v>49</v>
      </c>
      <c r="J44" s="9" t="s">
        <v>18</v>
      </c>
      <c r="K44" s="9" t="s">
        <v>50</v>
      </c>
      <c r="L44" s="9" t="s">
        <v>51</v>
      </c>
      <c r="M44" s="9" t="s">
        <v>52</v>
      </c>
      <c r="N44" s="9" t="s">
        <v>22</v>
      </c>
      <c r="O44" s="9">
        <v>33285</v>
      </c>
      <c r="P44" s="9" t="s">
        <v>261</v>
      </c>
      <c r="Q44" s="9">
        <v>33321</v>
      </c>
      <c r="R44" s="9" t="s">
        <v>92</v>
      </c>
      <c r="S44" s="9">
        <v>5</v>
      </c>
      <c r="T44" s="18">
        <v>99</v>
      </c>
      <c r="U44" s="9">
        <v>200</v>
      </c>
      <c r="V44" s="9">
        <v>99</v>
      </c>
      <c r="W44" s="9">
        <f>U44-V44</f>
        <v>101</v>
      </c>
      <c r="X44" s="9" t="s">
        <v>28</v>
      </c>
    </row>
    <row r="45" spans="1:24" ht="15.3" x14ac:dyDescent="0.45">
      <c r="A45" s="9">
        <v>45</v>
      </c>
      <c r="B45" s="9" t="s">
        <v>108</v>
      </c>
      <c r="C45" s="9">
        <v>91</v>
      </c>
      <c r="D45" s="9">
        <v>33321</v>
      </c>
      <c r="E45" s="9">
        <v>4746</v>
      </c>
      <c r="F45" s="9" t="s">
        <v>106</v>
      </c>
      <c r="G45" s="9" t="s">
        <v>262</v>
      </c>
      <c r="H45" s="9" t="s">
        <v>263</v>
      </c>
      <c r="I45" s="9" t="s">
        <v>264</v>
      </c>
      <c r="J45" s="9" t="s">
        <v>70</v>
      </c>
      <c r="K45" s="9" t="s">
        <v>50</v>
      </c>
      <c r="L45" s="9" t="s">
        <v>20</v>
      </c>
      <c r="M45" s="9" t="s">
        <v>21</v>
      </c>
      <c r="N45" s="9" t="s">
        <v>22</v>
      </c>
      <c r="O45" s="9">
        <v>33318</v>
      </c>
      <c r="P45" s="9" t="s">
        <v>265</v>
      </c>
      <c r="Q45" s="9">
        <v>33321</v>
      </c>
      <c r="R45" s="9" t="s">
        <v>26</v>
      </c>
      <c r="S45" s="9">
        <v>10</v>
      </c>
      <c r="T45" s="18">
        <v>3</v>
      </c>
      <c r="U45" s="9">
        <v>200</v>
      </c>
      <c r="V45" s="9">
        <v>102</v>
      </c>
      <c r="W45" s="9">
        <f>U45-V45</f>
        <v>98</v>
      </c>
      <c r="X45" s="9" t="s">
        <v>28</v>
      </c>
    </row>
    <row r="46" spans="1:24" ht="15.3" x14ac:dyDescent="0.45">
      <c r="A46" s="9">
        <v>46</v>
      </c>
      <c r="B46" s="9" t="s">
        <v>111</v>
      </c>
      <c r="C46" s="9">
        <v>91</v>
      </c>
      <c r="D46" s="9">
        <v>33330</v>
      </c>
      <c r="E46" s="9">
        <v>4704</v>
      </c>
      <c r="F46" s="9" t="s">
        <v>106</v>
      </c>
      <c r="G46" s="9" t="s">
        <v>229</v>
      </c>
      <c r="H46" s="9" t="s">
        <v>266</v>
      </c>
      <c r="I46" s="9" t="s">
        <v>267</v>
      </c>
      <c r="J46" s="9" t="s">
        <v>70</v>
      </c>
      <c r="K46" s="9" t="s">
        <v>50</v>
      </c>
      <c r="L46" s="9" t="s">
        <v>20</v>
      </c>
      <c r="M46" s="9" t="s">
        <v>21</v>
      </c>
      <c r="N46" s="9" t="s">
        <v>22</v>
      </c>
      <c r="O46" s="9">
        <v>33355</v>
      </c>
      <c r="P46" s="9" t="s">
        <v>268</v>
      </c>
      <c r="Q46" s="9">
        <v>33361</v>
      </c>
      <c r="R46" s="9" t="s">
        <v>26</v>
      </c>
      <c r="S46" s="9">
        <v>4</v>
      </c>
      <c r="T46" s="18">
        <v>3</v>
      </c>
      <c r="U46" s="9">
        <v>500</v>
      </c>
      <c r="V46" s="9">
        <v>5.85</v>
      </c>
      <c r="W46" s="9">
        <f>U46-V46</f>
        <v>494.15</v>
      </c>
      <c r="X46" s="9" t="s">
        <v>28</v>
      </c>
    </row>
    <row r="47" spans="1:24" ht="15.3" x14ac:dyDescent="0.45">
      <c r="A47" s="9">
        <v>47</v>
      </c>
      <c r="B47" s="9" t="s">
        <v>105</v>
      </c>
      <c r="C47" s="9">
        <v>91</v>
      </c>
      <c r="D47" s="9">
        <v>33332</v>
      </c>
      <c r="E47" s="9">
        <v>4705</v>
      </c>
      <c r="F47" s="9" t="s">
        <v>106</v>
      </c>
      <c r="G47" s="9" t="s">
        <v>269</v>
      </c>
      <c r="H47" s="9" t="s">
        <v>270</v>
      </c>
      <c r="I47" s="9" t="s">
        <v>271</v>
      </c>
      <c r="J47" s="9" t="s">
        <v>18</v>
      </c>
      <c r="K47" s="9" t="s">
        <v>19</v>
      </c>
      <c r="L47" s="9" t="s">
        <v>272</v>
      </c>
      <c r="M47" s="9" t="s">
        <v>33</v>
      </c>
      <c r="N47" s="9" t="s">
        <v>22</v>
      </c>
      <c r="O47" s="9" t="s">
        <v>273</v>
      </c>
      <c r="P47" s="9" t="s">
        <v>274</v>
      </c>
      <c r="Q47" s="9">
        <v>33361</v>
      </c>
      <c r="R47" s="9" t="s">
        <v>26</v>
      </c>
      <c r="S47" s="9">
        <v>10</v>
      </c>
      <c r="T47" s="9">
        <v>3</v>
      </c>
      <c r="U47" s="9">
        <v>31.3</v>
      </c>
      <c r="V47" s="9">
        <v>3</v>
      </c>
      <c r="W47" s="9">
        <f>U47-V47</f>
        <v>28.3</v>
      </c>
      <c r="X47" s="9" t="s">
        <v>28</v>
      </c>
    </row>
    <row r="48" spans="1:24" ht="15.3" x14ac:dyDescent="0.45">
      <c r="A48" s="9">
        <v>48</v>
      </c>
      <c r="B48" s="9" t="s">
        <v>108</v>
      </c>
      <c r="C48" s="9">
        <v>91</v>
      </c>
      <c r="D48" s="9" t="s">
        <v>275</v>
      </c>
      <c r="E48" s="9">
        <v>4732</v>
      </c>
      <c r="F48" s="9" t="s">
        <v>106</v>
      </c>
      <c r="G48" s="9" t="s">
        <v>236</v>
      </c>
      <c r="H48" s="9" t="s">
        <v>276</v>
      </c>
      <c r="I48" s="9" t="s">
        <v>277</v>
      </c>
      <c r="J48" s="9" t="s">
        <v>70</v>
      </c>
      <c r="K48" s="9" t="s">
        <v>50</v>
      </c>
      <c r="L48" s="9" t="s">
        <v>41</v>
      </c>
      <c r="M48" s="9" t="s">
        <v>21</v>
      </c>
      <c r="N48" s="9" t="s">
        <v>22</v>
      </c>
      <c r="O48" s="9">
        <v>33367</v>
      </c>
      <c r="P48" s="9" t="s">
        <v>278</v>
      </c>
      <c r="Q48" s="9">
        <v>33369</v>
      </c>
      <c r="R48" s="9" t="s">
        <v>26</v>
      </c>
      <c r="S48" s="9">
        <v>7</v>
      </c>
      <c r="T48" s="7">
        <v>2.1</v>
      </c>
      <c r="U48" s="9">
        <v>100</v>
      </c>
      <c r="V48" s="9">
        <v>8.1</v>
      </c>
      <c r="W48" s="9">
        <f>U48-V48</f>
        <v>91.9</v>
      </c>
      <c r="X48" s="9" t="s">
        <v>28</v>
      </c>
    </row>
    <row r="49" spans="1:24" ht="15.3" x14ac:dyDescent="0.45">
      <c r="A49" s="9">
        <v>49</v>
      </c>
      <c r="B49" s="9" t="s">
        <v>111</v>
      </c>
      <c r="C49" s="9">
        <v>91</v>
      </c>
      <c r="D49" s="9">
        <v>33354</v>
      </c>
      <c r="E49" s="9">
        <v>4704</v>
      </c>
      <c r="F49" s="9" t="s">
        <v>106</v>
      </c>
      <c r="G49" s="9" t="s">
        <v>279</v>
      </c>
      <c r="H49" s="9" t="s">
        <v>116</v>
      </c>
      <c r="I49" s="9" t="s">
        <v>280</v>
      </c>
      <c r="J49" s="9" t="s">
        <v>70</v>
      </c>
      <c r="K49" s="9" t="s">
        <v>50</v>
      </c>
      <c r="L49" s="9" t="s">
        <v>20</v>
      </c>
      <c r="M49" s="9" t="s">
        <v>21</v>
      </c>
      <c r="N49" s="9" t="s">
        <v>22</v>
      </c>
      <c r="O49" s="9">
        <v>33367</v>
      </c>
      <c r="P49" s="9" t="s">
        <v>281</v>
      </c>
      <c r="Q49" s="9">
        <v>33369</v>
      </c>
      <c r="R49" s="9" t="s">
        <v>26</v>
      </c>
      <c r="S49" s="9">
        <v>4</v>
      </c>
      <c r="T49" s="18">
        <v>1.2</v>
      </c>
      <c r="U49" s="9">
        <v>500</v>
      </c>
      <c r="V49" s="9">
        <v>7.05</v>
      </c>
      <c r="W49" s="9">
        <f>U49-V49</f>
        <v>492.95</v>
      </c>
      <c r="X49" s="9" t="s">
        <v>28</v>
      </c>
    </row>
    <row r="50" spans="1:24" ht="15.3" x14ac:dyDescent="0.45">
      <c r="A50" s="9">
        <v>50</v>
      </c>
      <c r="B50" s="9" t="s">
        <v>105</v>
      </c>
      <c r="C50" s="9">
        <v>91</v>
      </c>
      <c r="D50" s="9">
        <v>33332</v>
      </c>
      <c r="E50" s="9">
        <v>4705</v>
      </c>
      <c r="F50" s="9" t="s">
        <v>106</v>
      </c>
      <c r="G50" s="9" t="s">
        <v>282</v>
      </c>
      <c r="H50" s="9" t="s">
        <v>283</v>
      </c>
      <c r="I50" s="9" t="s">
        <v>284</v>
      </c>
      <c r="J50" s="9" t="s">
        <v>18</v>
      </c>
      <c r="K50" s="9" t="s">
        <v>19</v>
      </c>
      <c r="L50" s="9" t="s">
        <v>19</v>
      </c>
      <c r="M50" s="9" t="s">
        <v>19</v>
      </c>
      <c r="N50" s="9" t="s">
        <v>22</v>
      </c>
      <c r="O50" s="9" t="s">
        <v>285</v>
      </c>
      <c r="P50" s="9" t="s">
        <v>286</v>
      </c>
      <c r="Q50" s="9">
        <v>33369</v>
      </c>
      <c r="R50" s="9" t="s">
        <v>26</v>
      </c>
      <c r="S50" s="9">
        <v>10</v>
      </c>
      <c r="T50" s="9">
        <v>3</v>
      </c>
      <c r="U50" s="9">
        <v>31.3</v>
      </c>
      <c r="V50" s="9">
        <v>6</v>
      </c>
      <c r="W50" s="9">
        <f>U50-V50</f>
        <v>25.3</v>
      </c>
      <c r="X50" s="9" t="s">
        <v>28</v>
      </c>
    </row>
    <row r="51" spans="1:24" ht="15.3" x14ac:dyDescent="0.45">
      <c r="A51" s="9">
        <v>51</v>
      </c>
      <c r="B51" s="9" t="s">
        <v>108</v>
      </c>
      <c r="C51" s="9">
        <v>91</v>
      </c>
      <c r="D51" s="9" t="s">
        <v>287</v>
      </c>
      <c r="E51" s="9">
        <v>1602</v>
      </c>
      <c r="F51" s="9" t="s">
        <v>106</v>
      </c>
      <c r="G51" s="9" t="s">
        <v>288</v>
      </c>
      <c r="H51" s="9" t="s">
        <v>289</v>
      </c>
      <c r="I51" s="9" t="s">
        <v>290</v>
      </c>
      <c r="J51" s="9" t="s">
        <v>18</v>
      </c>
      <c r="K51" s="9" t="s">
        <v>19</v>
      </c>
      <c r="L51" s="9" t="s">
        <v>20</v>
      </c>
      <c r="M51" s="9" t="s">
        <v>21</v>
      </c>
      <c r="N51" s="9" t="s">
        <v>22</v>
      </c>
      <c r="O51" s="9">
        <v>33367</v>
      </c>
      <c r="P51" s="9" t="s">
        <v>291</v>
      </c>
      <c r="Q51" s="9">
        <v>33369</v>
      </c>
      <c r="R51" s="9" t="s">
        <v>26</v>
      </c>
      <c r="S51" s="9">
        <v>5</v>
      </c>
      <c r="T51" s="9">
        <v>1.5</v>
      </c>
      <c r="U51" s="9">
        <v>190.7</v>
      </c>
      <c r="V51" s="9">
        <v>1.5</v>
      </c>
      <c r="W51" s="9">
        <f>U51-T51</f>
        <v>189.2</v>
      </c>
      <c r="X51" s="9" t="s">
        <v>28</v>
      </c>
    </row>
    <row r="52" spans="1:24" ht="15.3" x14ac:dyDescent="0.45">
      <c r="A52" s="9">
        <v>52</v>
      </c>
      <c r="B52" s="9" t="s">
        <v>105</v>
      </c>
      <c r="C52" s="9">
        <v>91</v>
      </c>
      <c r="D52" s="9">
        <v>33371</v>
      </c>
      <c r="E52" s="9">
        <v>4705</v>
      </c>
      <c r="F52" s="9" t="s">
        <v>106</v>
      </c>
      <c r="G52" s="9" t="s">
        <v>292</v>
      </c>
      <c r="H52" s="9" t="s">
        <v>293</v>
      </c>
      <c r="I52" s="9" t="s">
        <v>294</v>
      </c>
      <c r="J52" s="9" t="s">
        <v>18</v>
      </c>
      <c r="K52" s="9" t="s">
        <v>19</v>
      </c>
      <c r="L52" s="9" t="s">
        <v>20</v>
      </c>
      <c r="M52" s="9" t="s">
        <v>21</v>
      </c>
      <c r="N52" s="9" t="s">
        <v>22</v>
      </c>
      <c r="O52" s="9" t="s">
        <v>295</v>
      </c>
      <c r="P52" s="9" t="s">
        <v>296</v>
      </c>
      <c r="Q52" s="9">
        <v>33383</v>
      </c>
      <c r="R52" s="9" t="s">
        <v>26</v>
      </c>
      <c r="S52" s="9">
        <v>10</v>
      </c>
      <c r="T52" s="9">
        <v>3</v>
      </c>
      <c r="U52" s="9">
        <v>31.3</v>
      </c>
      <c r="V52" s="9">
        <v>9</v>
      </c>
      <c r="W52" s="9">
        <f>U52-V52</f>
        <v>22.3</v>
      </c>
      <c r="X52" s="9" t="s">
        <v>28</v>
      </c>
    </row>
    <row r="53" spans="1:24" ht="15.3" x14ac:dyDescent="0.45">
      <c r="A53" s="9">
        <v>53</v>
      </c>
      <c r="B53" s="9" t="s">
        <v>172</v>
      </c>
      <c r="C53" s="9">
        <v>91</v>
      </c>
      <c r="D53" s="9">
        <v>33371</v>
      </c>
      <c r="E53" s="9">
        <v>4747</v>
      </c>
      <c r="F53" s="9" t="s">
        <v>106</v>
      </c>
      <c r="G53" s="9" t="s">
        <v>297</v>
      </c>
      <c r="H53" s="9" t="s">
        <v>298</v>
      </c>
      <c r="I53" s="9" t="s">
        <v>299</v>
      </c>
      <c r="J53" s="9" t="s">
        <v>18</v>
      </c>
      <c r="K53" s="9" t="s">
        <v>19</v>
      </c>
      <c r="L53" s="9" t="s">
        <v>41</v>
      </c>
      <c r="M53" s="9" t="s">
        <v>21</v>
      </c>
      <c r="N53" s="9" t="s">
        <v>22</v>
      </c>
      <c r="O53" s="9">
        <v>33382</v>
      </c>
      <c r="P53" s="9" t="s">
        <v>300</v>
      </c>
      <c r="Q53" s="9">
        <v>33383</v>
      </c>
      <c r="R53" s="9" t="s">
        <v>26</v>
      </c>
      <c r="S53" s="9">
        <v>8</v>
      </c>
      <c r="T53" s="9">
        <v>1.8</v>
      </c>
      <c r="U53" s="9">
        <v>126.5</v>
      </c>
      <c r="V53" s="9">
        <v>4.8</v>
      </c>
      <c r="W53" s="9">
        <f>W4-T53</f>
        <v>121.7</v>
      </c>
      <c r="X53" s="9" t="s">
        <v>28</v>
      </c>
    </row>
    <row r="54" spans="1:24" ht="15.3" x14ac:dyDescent="0.45">
      <c r="A54" s="9">
        <v>54</v>
      </c>
      <c r="B54" s="9" t="s">
        <v>111</v>
      </c>
      <c r="C54" s="9">
        <v>91</v>
      </c>
      <c r="D54" s="9">
        <v>33383</v>
      </c>
      <c r="E54" s="9">
        <v>4704</v>
      </c>
      <c r="F54" s="9" t="s">
        <v>106</v>
      </c>
      <c r="G54" s="9" t="s">
        <v>229</v>
      </c>
      <c r="H54" s="9" t="s">
        <v>301</v>
      </c>
      <c r="I54" s="9" t="s">
        <v>302</v>
      </c>
      <c r="J54" s="9" t="s">
        <v>70</v>
      </c>
      <c r="K54" s="9" t="s">
        <v>50</v>
      </c>
      <c r="L54" s="9" t="s">
        <v>20</v>
      </c>
      <c r="M54" s="9" t="s">
        <v>21</v>
      </c>
      <c r="N54" s="9" t="s">
        <v>22</v>
      </c>
      <c r="O54" s="9">
        <v>33378</v>
      </c>
      <c r="P54" s="9" t="s">
        <v>303</v>
      </c>
      <c r="Q54" s="9">
        <v>33383</v>
      </c>
      <c r="R54" s="9" t="s">
        <v>26</v>
      </c>
      <c r="S54" s="9">
        <v>3</v>
      </c>
      <c r="T54" s="18">
        <v>0.9</v>
      </c>
      <c r="U54" s="9">
        <v>500</v>
      </c>
      <c r="V54" s="9">
        <v>7.95</v>
      </c>
      <c r="W54" s="9">
        <f>U54-V54</f>
        <v>492.05</v>
      </c>
      <c r="X54" s="9" t="s">
        <v>28</v>
      </c>
    </row>
    <row r="55" spans="1:24" ht="15.3" x14ac:dyDescent="0.45">
      <c r="A55" s="9">
        <v>55</v>
      </c>
      <c r="B55" s="9" t="s">
        <v>102</v>
      </c>
      <c r="C55" s="9">
        <v>91</v>
      </c>
      <c r="D55" s="9">
        <v>33371</v>
      </c>
      <c r="E55" s="9">
        <v>4747</v>
      </c>
      <c r="F55" s="9" t="s">
        <v>106</v>
      </c>
      <c r="G55" s="9" t="s">
        <v>304</v>
      </c>
      <c r="H55" s="9" t="s">
        <v>305</v>
      </c>
      <c r="I55" s="9" t="s">
        <v>306</v>
      </c>
      <c r="J55" s="9" t="s">
        <v>18</v>
      </c>
      <c r="K55" s="9" t="s">
        <v>19</v>
      </c>
      <c r="L55" s="9" t="s">
        <v>41</v>
      </c>
      <c r="M55" s="9" t="s">
        <v>21</v>
      </c>
      <c r="N55" s="9" t="s">
        <v>22</v>
      </c>
      <c r="O55" s="9">
        <v>33382</v>
      </c>
      <c r="P55" s="9" t="s">
        <v>307</v>
      </c>
      <c r="Q55" s="9">
        <v>33383</v>
      </c>
      <c r="R55" s="9" t="s">
        <v>26</v>
      </c>
      <c r="S55" s="9">
        <v>12</v>
      </c>
      <c r="T55" s="9">
        <v>3.6</v>
      </c>
      <c r="U55" s="9">
        <v>126.5</v>
      </c>
      <c r="V55" s="9">
        <v>8.4</v>
      </c>
      <c r="W55" s="9">
        <f>W53-T55</f>
        <v>118.10000000000001</v>
      </c>
      <c r="X55" s="9" t="s">
        <v>28</v>
      </c>
    </row>
    <row r="56" spans="1:24" ht="15.3" x14ac:dyDescent="0.45">
      <c r="A56" s="9">
        <v>56</v>
      </c>
      <c r="B56" s="9" t="s">
        <v>108</v>
      </c>
      <c r="C56" s="9">
        <v>91</v>
      </c>
      <c r="D56" s="9">
        <v>33365</v>
      </c>
      <c r="E56" s="9">
        <v>4750</v>
      </c>
      <c r="F56" s="9" t="s">
        <v>106</v>
      </c>
      <c r="G56" s="9" t="s">
        <v>308</v>
      </c>
      <c r="H56" s="9" t="s">
        <v>309</v>
      </c>
      <c r="I56" s="9" t="s">
        <v>310</v>
      </c>
      <c r="J56" s="9" t="s">
        <v>18</v>
      </c>
      <c r="K56" s="9" t="s">
        <v>19</v>
      </c>
      <c r="L56" s="9" t="s">
        <v>311</v>
      </c>
      <c r="M56" s="9" t="s">
        <v>33</v>
      </c>
      <c r="N56" s="9" t="s">
        <v>22</v>
      </c>
      <c r="O56" s="9">
        <v>33373</v>
      </c>
      <c r="P56" s="9" t="s">
        <v>312</v>
      </c>
      <c r="Q56" s="9">
        <v>33383</v>
      </c>
      <c r="R56" s="9" t="s">
        <v>26</v>
      </c>
      <c r="S56" s="9">
        <v>10</v>
      </c>
      <c r="T56" s="9">
        <v>3</v>
      </c>
      <c r="U56" s="9">
        <v>33.5</v>
      </c>
      <c r="V56" s="9">
        <v>24.7</v>
      </c>
      <c r="W56" s="9">
        <f>U56-V56</f>
        <v>8.8000000000000007</v>
      </c>
      <c r="X56" s="9" t="s">
        <v>28</v>
      </c>
    </row>
    <row r="57" spans="1:24" ht="15.3" x14ac:dyDescent="0.45">
      <c r="A57" s="9">
        <v>57</v>
      </c>
      <c r="B57" s="9" t="s">
        <v>172</v>
      </c>
      <c r="C57" s="9">
        <v>91</v>
      </c>
      <c r="D57" s="9">
        <v>33371</v>
      </c>
      <c r="E57" s="9">
        <v>4747</v>
      </c>
      <c r="F57" s="9" t="s">
        <v>106</v>
      </c>
      <c r="G57" s="9" t="s">
        <v>313</v>
      </c>
      <c r="H57" s="9" t="s">
        <v>314</v>
      </c>
      <c r="I57" s="9" t="s">
        <v>315</v>
      </c>
      <c r="J57" s="9" t="s">
        <v>18</v>
      </c>
      <c r="K57" s="9" t="s">
        <v>19</v>
      </c>
      <c r="L57" s="9" t="s">
        <v>316</v>
      </c>
      <c r="M57" s="9" t="s">
        <v>21</v>
      </c>
      <c r="N57" s="9" t="s">
        <v>317</v>
      </c>
      <c r="O57" s="9">
        <v>33382</v>
      </c>
      <c r="P57" s="9" t="s">
        <v>318</v>
      </c>
      <c r="Q57" s="9">
        <v>33383</v>
      </c>
      <c r="R57" s="9" t="s">
        <v>26</v>
      </c>
      <c r="S57" s="9">
        <v>15</v>
      </c>
      <c r="T57" s="9">
        <v>4.5</v>
      </c>
      <c r="U57" s="9">
        <v>126.5</v>
      </c>
      <c r="V57" s="9">
        <v>12.9</v>
      </c>
      <c r="W57" s="9">
        <f>U57-V57</f>
        <v>113.6</v>
      </c>
      <c r="X57" s="9" t="s">
        <v>28</v>
      </c>
    </row>
    <row r="58" spans="1:24" ht="15.3" x14ac:dyDescent="0.45">
      <c r="A58" s="9">
        <v>58</v>
      </c>
      <c r="B58" s="9" t="s">
        <v>172</v>
      </c>
      <c r="C58" s="9">
        <v>91</v>
      </c>
      <c r="D58" s="9">
        <v>33368</v>
      </c>
      <c r="E58" s="9">
        <v>4747</v>
      </c>
      <c r="F58" s="9" t="s">
        <v>106</v>
      </c>
      <c r="G58" s="9" t="s">
        <v>319</v>
      </c>
      <c r="H58" s="9" t="s">
        <v>320</v>
      </c>
      <c r="I58" s="9" t="s">
        <v>321</v>
      </c>
      <c r="J58" s="9" t="s">
        <v>18</v>
      </c>
      <c r="K58" s="9" t="s">
        <v>19</v>
      </c>
      <c r="L58" s="9" t="s">
        <v>316</v>
      </c>
      <c r="M58" s="9" t="s">
        <v>21</v>
      </c>
      <c r="N58" s="9" t="s">
        <v>317</v>
      </c>
      <c r="O58" s="9">
        <v>33382</v>
      </c>
      <c r="P58" s="9" t="s">
        <v>322</v>
      </c>
      <c r="Q58" s="9">
        <v>33383</v>
      </c>
      <c r="R58" s="9" t="s">
        <v>26</v>
      </c>
      <c r="S58" s="9">
        <v>5</v>
      </c>
      <c r="T58" s="9">
        <v>1.5</v>
      </c>
      <c r="U58" s="9">
        <v>126.5</v>
      </c>
      <c r="V58" s="9">
        <v>14.4</v>
      </c>
      <c r="W58" s="9">
        <f>U58-V58</f>
        <v>112.1</v>
      </c>
      <c r="X58" s="9" t="s">
        <v>28</v>
      </c>
    </row>
    <row r="59" spans="1:24" ht="15.3" x14ac:dyDescent="0.45">
      <c r="A59" s="9">
        <v>59</v>
      </c>
      <c r="B59" s="9" t="s">
        <v>102</v>
      </c>
      <c r="C59" s="9">
        <v>91</v>
      </c>
      <c r="D59" s="9">
        <v>33371</v>
      </c>
      <c r="E59" s="9">
        <v>4747</v>
      </c>
      <c r="F59" s="9" t="s">
        <v>106</v>
      </c>
      <c r="G59" s="9" t="s">
        <v>38</v>
      </c>
      <c r="H59" s="9" t="s">
        <v>323</v>
      </c>
      <c r="I59" s="9" t="s">
        <v>324</v>
      </c>
      <c r="J59" s="9" t="s">
        <v>18</v>
      </c>
      <c r="K59" s="9" t="s">
        <v>19</v>
      </c>
      <c r="L59" s="9" t="s">
        <v>20</v>
      </c>
      <c r="M59" s="9" t="s">
        <v>21</v>
      </c>
      <c r="N59" s="9" t="s">
        <v>22</v>
      </c>
      <c r="O59" s="9">
        <v>33382</v>
      </c>
      <c r="P59" s="9" t="s">
        <v>325</v>
      </c>
      <c r="Q59" s="9">
        <v>33383</v>
      </c>
      <c r="R59" s="9" t="s">
        <v>26</v>
      </c>
      <c r="S59" s="9">
        <v>2</v>
      </c>
      <c r="T59" s="9">
        <v>0.6</v>
      </c>
      <c r="U59" s="9">
        <v>126.5</v>
      </c>
      <c r="V59" s="9">
        <v>15</v>
      </c>
      <c r="W59" s="9">
        <f>U59-V59</f>
        <v>111.5</v>
      </c>
      <c r="X59" s="9" t="s">
        <v>326</v>
      </c>
    </row>
    <row r="60" spans="1:24" ht="15.3" x14ac:dyDescent="0.45">
      <c r="A60" s="9">
        <v>60</v>
      </c>
      <c r="B60" s="9" t="s">
        <v>105</v>
      </c>
      <c r="C60" s="9">
        <v>91</v>
      </c>
      <c r="D60" s="9">
        <v>33395</v>
      </c>
      <c r="E60" s="9">
        <v>4705</v>
      </c>
      <c r="F60" s="9" t="s">
        <v>106</v>
      </c>
      <c r="G60" s="9" t="s">
        <v>327</v>
      </c>
      <c r="H60" s="9" t="s">
        <v>328</v>
      </c>
      <c r="I60" s="9" t="s">
        <v>329</v>
      </c>
      <c r="J60" s="9" t="s">
        <v>18</v>
      </c>
      <c r="K60" s="9" t="s">
        <v>19</v>
      </c>
      <c r="L60" s="9" t="s">
        <v>41</v>
      </c>
      <c r="M60" s="9" t="s">
        <v>21</v>
      </c>
      <c r="N60" s="9" t="s">
        <v>22</v>
      </c>
      <c r="O60" s="9" t="s">
        <v>330</v>
      </c>
      <c r="P60" s="9" t="s">
        <v>331</v>
      </c>
      <c r="Q60" s="9">
        <v>33397</v>
      </c>
      <c r="R60" s="9" t="s">
        <v>26</v>
      </c>
      <c r="S60" s="9">
        <v>10</v>
      </c>
      <c r="T60" s="9">
        <v>3</v>
      </c>
      <c r="U60" s="9">
        <v>31.3</v>
      </c>
      <c r="V60" s="9">
        <v>12</v>
      </c>
      <c r="W60" s="9">
        <f>U60-V60</f>
        <v>19.3</v>
      </c>
      <c r="X60" s="9" t="s">
        <v>28</v>
      </c>
    </row>
    <row r="61" spans="1:24" ht="15.3" x14ac:dyDescent="0.45">
      <c r="A61" s="9">
        <v>61</v>
      </c>
      <c r="B61" s="9" t="s">
        <v>172</v>
      </c>
      <c r="C61" s="9">
        <v>91</v>
      </c>
      <c r="D61" s="9">
        <v>33390</v>
      </c>
      <c r="E61" s="9">
        <v>4747</v>
      </c>
      <c r="F61" s="9" t="s">
        <v>106</v>
      </c>
      <c r="G61" s="9" t="s">
        <v>332</v>
      </c>
      <c r="H61" s="9" t="s">
        <v>333</v>
      </c>
      <c r="I61" s="9" t="s">
        <v>334</v>
      </c>
      <c r="J61" s="9" t="s">
        <v>18</v>
      </c>
      <c r="K61" s="9" t="s">
        <v>50</v>
      </c>
      <c r="L61" s="9" t="s">
        <v>41</v>
      </c>
      <c r="M61" s="9" t="s">
        <v>21</v>
      </c>
      <c r="N61" s="9" t="s">
        <v>22</v>
      </c>
      <c r="O61" s="9">
        <v>33397</v>
      </c>
      <c r="P61" s="9" t="s">
        <v>335</v>
      </c>
      <c r="Q61" s="9">
        <v>33397</v>
      </c>
      <c r="R61" s="9" t="s">
        <v>26</v>
      </c>
      <c r="S61" s="9">
        <v>4</v>
      </c>
      <c r="T61" s="18">
        <v>1.44</v>
      </c>
      <c r="U61" s="9">
        <v>500</v>
      </c>
      <c r="V61" s="9">
        <v>83.64</v>
      </c>
      <c r="W61" s="9">
        <f>U61-V61</f>
        <v>416.36</v>
      </c>
      <c r="X61" s="9" t="s">
        <v>28</v>
      </c>
    </row>
    <row r="62" spans="1:24" ht="15.3" x14ac:dyDescent="0.45">
      <c r="A62" s="9">
        <v>62</v>
      </c>
      <c r="B62" s="9" t="s">
        <v>111</v>
      </c>
      <c r="C62" s="9">
        <v>91</v>
      </c>
      <c r="D62" s="9">
        <v>33395</v>
      </c>
      <c r="E62" s="9">
        <v>4704</v>
      </c>
      <c r="F62" s="9" t="s">
        <v>106</v>
      </c>
      <c r="G62" s="9" t="s">
        <v>229</v>
      </c>
      <c r="H62" s="9" t="s">
        <v>336</v>
      </c>
      <c r="I62" s="9" t="s">
        <v>337</v>
      </c>
      <c r="J62" s="9" t="s">
        <v>70</v>
      </c>
      <c r="K62" s="9" t="s">
        <v>50</v>
      </c>
      <c r="L62" s="9" t="s">
        <v>20</v>
      </c>
      <c r="M62" s="9" t="s">
        <v>21</v>
      </c>
      <c r="N62" s="9" t="s">
        <v>22</v>
      </c>
      <c r="O62" s="9">
        <v>33397</v>
      </c>
      <c r="P62" s="9" t="s">
        <v>338</v>
      </c>
      <c r="Q62" s="9">
        <v>33397</v>
      </c>
      <c r="R62" s="9" t="s">
        <v>26</v>
      </c>
      <c r="S62" s="9">
        <v>2</v>
      </c>
      <c r="T62" s="18">
        <v>0.6</v>
      </c>
      <c r="U62" s="9">
        <v>500</v>
      </c>
      <c r="V62" s="9">
        <v>8.5500000000000007</v>
      </c>
      <c r="W62" s="9">
        <f>U62-V62</f>
        <v>491.45</v>
      </c>
      <c r="X62" s="9" t="s">
        <v>28</v>
      </c>
    </row>
    <row r="63" spans="1:24" ht="15.3" x14ac:dyDescent="0.45">
      <c r="A63" s="9">
        <v>63</v>
      </c>
      <c r="B63" s="9" t="s">
        <v>172</v>
      </c>
      <c r="C63" s="9">
        <v>91</v>
      </c>
      <c r="D63" s="9">
        <v>33398</v>
      </c>
      <c r="E63" s="9">
        <v>4747</v>
      </c>
      <c r="F63" s="9" t="s">
        <v>106</v>
      </c>
      <c r="G63" s="9" t="s">
        <v>339</v>
      </c>
      <c r="H63" s="9" t="s">
        <v>340</v>
      </c>
      <c r="I63" s="9" t="s">
        <v>341</v>
      </c>
      <c r="J63" s="9" t="s">
        <v>18</v>
      </c>
      <c r="K63" s="9" t="s">
        <v>19</v>
      </c>
      <c r="L63" s="9" t="s">
        <v>342</v>
      </c>
      <c r="M63" s="9" t="s">
        <v>19</v>
      </c>
      <c r="N63" s="9" t="s">
        <v>22</v>
      </c>
      <c r="O63" s="9">
        <v>33430</v>
      </c>
      <c r="P63" s="9" t="s">
        <v>343</v>
      </c>
      <c r="Q63" s="9">
        <v>33443</v>
      </c>
      <c r="R63" s="9" t="s">
        <v>26</v>
      </c>
      <c r="S63" s="9">
        <v>10</v>
      </c>
      <c r="T63" s="9">
        <v>3</v>
      </c>
      <c r="U63" s="9">
        <v>126.5</v>
      </c>
      <c r="V63" s="9">
        <v>18</v>
      </c>
      <c r="W63" s="9">
        <f>U63-V63</f>
        <v>108.5</v>
      </c>
      <c r="X63" s="9" t="s">
        <v>28</v>
      </c>
    </row>
    <row r="64" spans="1:24" ht="15.3" x14ac:dyDescent="0.45">
      <c r="A64" s="9">
        <v>64</v>
      </c>
      <c r="B64" s="9" t="s">
        <v>153</v>
      </c>
      <c r="C64" s="9">
        <v>91</v>
      </c>
      <c r="D64" s="9">
        <v>33410</v>
      </c>
      <c r="E64" s="9">
        <v>4746</v>
      </c>
      <c r="F64" s="9" t="s">
        <v>106</v>
      </c>
      <c r="G64" s="9" t="s">
        <v>153</v>
      </c>
      <c r="H64" s="9" t="s">
        <v>344</v>
      </c>
      <c r="I64" s="9" t="s">
        <v>345</v>
      </c>
      <c r="J64" s="9" t="s">
        <v>18</v>
      </c>
      <c r="K64" s="9" t="s">
        <v>19</v>
      </c>
      <c r="L64" s="9" t="s">
        <v>20</v>
      </c>
      <c r="M64" s="9" t="s">
        <v>21</v>
      </c>
      <c r="N64" s="9" t="s">
        <v>22</v>
      </c>
      <c r="O64" s="9">
        <v>33430</v>
      </c>
      <c r="P64" s="9" t="s">
        <v>346</v>
      </c>
      <c r="Q64" s="9">
        <v>33443</v>
      </c>
      <c r="R64" s="9" t="s">
        <v>26</v>
      </c>
      <c r="S64" s="9">
        <v>25</v>
      </c>
      <c r="T64" s="9">
        <v>7.5</v>
      </c>
      <c r="U64" s="9">
        <v>86.4</v>
      </c>
      <c r="V64" s="9">
        <v>7.5</v>
      </c>
      <c r="W64" s="9">
        <f>U64-V64</f>
        <v>78.900000000000006</v>
      </c>
      <c r="X64" s="9" t="s">
        <v>28</v>
      </c>
    </row>
    <row r="65" spans="1:24" ht="15.3" x14ac:dyDescent="0.45">
      <c r="A65" s="9">
        <v>65</v>
      </c>
      <c r="B65" s="9" t="s">
        <v>108</v>
      </c>
      <c r="C65" s="9">
        <v>91</v>
      </c>
      <c r="D65" s="9">
        <v>33385</v>
      </c>
      <c r="E65" s="9">
        <v>4748</v>
      </c>
      <c r="F65" s="9" t="s">
        <v>104</v>
      </c>
      <c r="G65" s="9" t="s">
        <v>347</v>
      </c>
      <c r="H65" s="9" t="s">
        <v>348</v>
      </c>
      <c r="I65" s="9" t="s">
        <v>349</v>
      </c>
      <c r="J65" s="9" t="s">
        <v>18</v>
      </c>
      <c r="K65" s="9" t="s">
        <v>19</v>
      </c>
      <c r="L65" s="9" t="s">
        <v>342</v>
      </c>
      <c r="M65" s="9" t="s">
        <v>19</v>
      </c>
      <c r="N65" s="9" t="s">
        <v>22</v>
      </c>
      <c r="O65" s="9">
        <v>33430</v>
      </c>
      <c r="P65" s="9" t="s">
        <v>350</v>
      </c>
      <c r="Q65" s="9">
        <v>33443</v>
      </c>
      <c r="R65" s="9" t="s">
        <v>26</v>
      </c>
      <c r="S65" s="9">
        <v>15</v>
      </c>
      <c r="T65" s="9">
        <v>4.5</v>
      </c>
      <c r="U65" s="9">
        <v>35.1</v>
      </c>
      <c r="V65" s="9">
        <v>4.5</v>
      </c>
      <c r="W65" s="9">
        <f>U65-V65</f>
        <v>30.6</v>
      </c>
      <c r="X65" s="9" t="s">
        <v>28</v>
      </c>
    </row>
    <row r="66" spans="1:24" ht="15.3" x14ac:dyDescent="0.45">
      <c r="A66" s="9">
        <v>66</v>
      </c>
      <c r="B66" s="9" t="s">
        <v>153</v>
      </c>
      <c r="C66" s="9">
        <v>91</v>
      </c>
      <c r="D66" s="9">
        <v>33410</v>
      </c>
      <c r="E66" s="9">
        <v>1601</v>
      </c>
      <c r="F66" s="9" t="s">
        <v>104</v>
      </c>
      <c r="G66" s="9" t="s">
        <v>288</v>
      </c>
      <c r="H66" s="9" t="s">
        <v>493</v>
      </c>
      <c r="I66" s="9" t="s">
        <v>352</v>
      </c>
      <c r="J66" s="9" t="s">
        <v>18</v>
      </c>
      <c r="K66" s="9" t="s">
        <v>19</v>
      </c>
      <c r="L66" s="9" t="s">
        <v>41</v>
      </c>
      <c r="M66" s="9" t="s">
        <v>21</v>
      </c>
      <c r="N66" s="9" t="s">
        <v>22</v>
      </c>
      <c r="O66" s="9">
        <v>33430</v>
      </c>
      <c r="P66" s="9" t="s">
        <v>353</v>
      </c>
      <c r="Q66" s="9">
        <v>33443</v>
      </c>
      <c r="R66" s="9" t="s">
        <v>26</v>
      </c>
      <c r="S66" s="9">
        <v>12</v>
      </c>
      <c r="T66" s="9">
        <v>3</v>
      </c>
      <c r="U66" s="9">
        <v>100</v>
      </c>
      <c r="V66" s="9">
        <v>3.6</v>
      </c>
      <c r="W66" s="9">
        <f>U66-V66</f>
        <v>96.4</v>
      </c>
      <c r="X66" s="9" t="s">
        <v>28</v>
      </c>
    </row>
    <row r="67" spans="1:24" ht="15.3" x14ac:dyDescent="0.45">
      <c r="A67" s="9">
        <v>67</v>
      </c>
      <c r="B67" s="9" t="s">
        <v>172</v>
      </c>
      <c r="C67" s="9">
        <v>91</v>
      </c>
      <c r="D67" s="9">
        <v>33410</v>
      </c>
      <c r="E67" s="9">
        <v>4747</v>
      </c>
      <c r="F67" s="9" t="s">
        <v>106</v>
      </c>
      <c r="G67" s="9" t="s">
        <v>354</v>
      </c>
      <c r="H67" s="9" t="s">
        <v>355</v>
      </c>
      <c r="I67" s="9" t="s">
        <v>356</v>
      </c>
      <c r="J67" s="9" t="s">
        <v>18</v>
      </c>
      <c r="K67" s="9" t="s">
        <v>19</v>
      </c>
      <c r="L67" s="9" t="s">
        <v>357</v>
      </c>
      <c r="M67" s="9" t="s">
        <v>19</v>
      </c>
      <c r="N67" s="9" t="s">
        <v>22</v>
      </c>
      <c r="O67" s="9">
        <v>33430</v>
      </c>
      <c r="P67" s="9" t="s">
        <v>358</v>
      </c>
      <c r="Q67" s="9">
        <v>33443</v>
      </c>
      <c r="R67" s="9" t="s">
        <v>26</v>
      </c>
      <c r="S67" s="9">
        <v>10</v>
      </c>
      <c r="T67" s="9">
        <v>3</v>
      </c>
      <c r="U67" s="9">
        <v>126.5</v>
      </c>
      <c r="V67" s="9">
        <v>21</v>
      </c>
      <c r="W67" s="9">
        <f>U67-V67</f>
        <v>105.5</v>
      </c>
      <c r="X67" s="9" t="s">
        <v>28</v>
      </c>
    </row>
    <row r="68" spans="1:24" ht="15.3" x14ac:dyDescent="0.45">
      <c r="A68" s="9">
        <v>68</v>
      </c>
      <c r="B68" s="9" t="s">
        <v>111</v>
      </c>
      <c r="C68" s="9">
        <v>91</v>
      </c>
      <c r="D68" s="9">
        <v>33441</v>
      </c>
      <c r="E68" s="9">
        <v>4704</v>
      </c>
      <c r="F68" s="9" t="s">
        <v>106</v>
      </c>
      <c r="G68" s="9" t="s">
        <v>279</v>
      </c>
      <c r="H68" s="9" t="s">
        <v>359</v>
      </c>
      <c r="I68" s="9" t="s">
        <v>360</v>
      </c>
      <c r="J68" s="9" t="s">
        <v>70</v>
      </c>
      <c r="K68" s="9" t="s">
        <v>50</v>
      </c>
      <c r="L68" s="9" t="s">
        <v>20</v>
      </c>
      <c r="M68" s="9" t="s">
        <v>21</v>
      </c>
      <c r="N68" s="9" t="s">
        <v>22</v>
      </c>
      <c r="O68" s="9">
        <v>33465</v>
      </c>
      <c r="P68" s="9" t="s">
        <v>361</v>
      </c>
      <c r="Q68" s="9">
        <v>33479</v>
      </c>
      <c r="R68" s="9" t="s">
        <v>26</v>
      </c>
      <c r="S68" s="9">
        <v>8</v>
      </c>
      <c r="T68" s="18">
        <v>2.4</v>
      </c>
      <c r="U68" s="9">
        <v>500</v>
      </c>
      <c r="V68" s="9">
        <v>10.95</v>
      </c>
      <c r="W68" s="9">
        <f>U68-V68</f>
        <v>489.05</v>
      </c>
      <c r="X68" s="9" t="s">
        <v>28</v>
      </c>
    </row>
    <row r="69" spans="1:24" ht="15.3" x14ac:dyDescent="0.45">
      <c r="A69" s="9">
        <v>69</v>
      </c>
      <c r="B69" s="9" t="s">
        <v>111</v>
      </c>
      <c r="C69" s="9">
        <v>91</v>
      </c>
      <c r="D69" s="9">
        <v>33454</v>
      </c>
      <c r="E69" s="9">
        <v>4704</v>
      </c>
      <c r="F69" s="9" t="s">
        <v>106</v>
      </c>
      <c r="G69" s="9" t="s">
        <v>76</v>
      </c>
      <c r="H69" s="9" t="s">
        <v>491</v>
      </c>
      <c r="I69" s="9" t="s">
        <v>362</v>
      </c>
      <c r="J69" s="9" t="s">
        <v>70</v>
      </c>
      <c r="K69" s="9" t="s">
        <v>50</v>
      </c>
      <c r="L69" s="9" t="s">
        <v>19</v>
      </c>
      <c r="M69" s="9" t="s">
        <v>33</v>
      </c>
      <c r="N69" s="9" t="s">
        <v>22</v>
      </c>
      <c r="O69" s="9">
        <v>33465</v>
      </c>
      <c r="P69" s="9" t="s">
        <v>363</v>
      </c>
      <c r="Q69" s="9">
        <v>33480</v>
      </c>
      <c r="R69" s="9" t="s">
        <v>26</v>
      </c>
      <c r="S69" s="9">
        <v>4</v>
      </c>
      <c r="T69" s="18">
        <v>1.2</v>
      </c>
      <c r="U69" s="9">
        <v>500</v>
      </c>
      <c r="V69" s="9">
        <v>12.15</v>
      </c>
      <c r="W69" s="9">
        <f>U69-V69</f>
        <v>487.85</v>
      </c>
      <c r="X69" s="9" t="s">
        <v>28</v>
      </c>
    </row>
    <row r="70" spans="1:24" ht="15.3" x14ac:dyDescent="0.45">
      <c r="A70" s="9">
        <v>70</v>
      </c>
      <c r="B70" s="9" t="s">
        <v>102</v>
      </c>
      <c r="C70" s="9">
        <v>91</v>
      </c>
      <c r="D70" s="9">
        <v>33429</v>
      </c>
      <c r="E70" s="9">
        <v>4747</v>
      </c>
      <c r="F70" s="9" t="s">
        <v>106</v>
      </c>
      <c r="G70" s="9" t="s">
        <v>364</v>
      </c>
      <c r="H70" s="9" t="s">
        <v>365</v>
      </c>
      <c r="I70" s="9" t="s">
        <v>366</v>
      </c>
      <c r="J70" s="9" t="s">
        <v>18</v>
      </c>
      <c r="K70" s="9" t="s">
        <v>19</v>
      </c>
      <c r="L70" s="9" t="s">
        <v>41</v>
      </c>
      <c r="M70" s="9" t="s">
        <v>21</v>
      </c>
      <c r="N70" s="9" t="s">
        <v>22</v>
      </c>
      <c r="O70" s="9">
        <v>33465</v>
      </c>
      <c r="P70" s="9" t="s">
        <v>367</v>
      </c>
      <c r="Q70" s="9">
        <v>33480</v>
      </c>
      <c r="R70" s="9" t="s">
        <v>26</v>
      </c>
      <c r="S70" s="9">
        <v>21</v>
      </c>
      <c r="T70" s="9">
        <v>6.3</v>
      </c>
      <c r="U70" s="9">
        <v>126.5</v>
      </c>
      <c r="V70" s="9">
        <v>27.3</v>
      </c>
      <c r="W70" s="9">
        <f>U70-V70</f>
        <v>99.2</v>
      </c>
      <c r="X70" s="9" t="s">
        <v>28</v>
      </c>
    </row>
    <row r="71" spans="1:24" ht="15.3" x14ac:dyDescent="0.45">
      <c r="A71" s="9">
        <v>71</v>
      </c>
      <c r="B71" s="9" t="s">
        <v>153</v>
      </c>
      <c r="C71" s="9">
        <v>91</v>
      </c>
      <c r="D71" s="9">
        <v>33437</v>
      </c>
      <c r="E71" s="9">
        <v>4746</v>
      </c>
      <c r="F71" s="9" t="s">
        <v>106</v>
      </c>
      <c r="G71" s="9" t="s">
        <v>153</v>
      </c>
      <c r="H71" s="9" t="s">
        <v>368</v>
      </c>
      <c r="I71" s="9" t="s">
        <v>369</v>
      </c>
      <c r="J71" s="9" t="s">
        <v>18</v>
      </c>
      <c r="K71" s="9" t="s">
        <v>19</v>
      </c>
      <c r="L71" s="9" t="s">
        <v>342</v>
      </c>
      <c r="M71" s="9" t="s">
        <v>19</v>
      </c>
      <c r="N71" s="9" t="s">
        <v>22</v>
      </c>
      <c r="O71" s="9">
        <v>33465</v>
      </c>
      <c r="P71" s="9" t="s">
        <v>370</v>
      </c>
      <c r="Q71" s="9">
        <v>33480</v>
      </c>
      <c r="R71" s="9" t="s">
        <v>26</v>
      </c>
      <c r="S71" s="9">
        <v>23.3</v>
      </c>
      <c r="T71" s="9">
        <v>7</v>
      </c>
      <c r="U71" s="9">
        <v>86.4</v>
      </c>
      <c r="V71" s="9">
        <v>15.5</v>
      </c>
      <c r="W71" s="9">
        <f>U71-V71</f>
        <v>70.900000000000006</v>
      </c>
      <c r="X71" s="9" t="s">
        <v>28</v>
      </c>
    </row>
    <row r="72" spans="1:24" ht="15.3" x14ac:dyDescent="0.45">
      <c r="A72" s="9">
        <v>72</v>
      </c>
      <c r="B72" s="9" t="s">
        <v>108</v>
      </c>
      <c r="C72" s="9">
        <v>91</v>
      </c>
      <c r="D72" s="9">
        <v>33408</v>
      </c>
      <c r="E72" s="9">
        <v>4748</v>
      </c>
      <c r="F72" s="9" t="s">
        <v>104</v>
      </c>
      <c r="G72" s="9" t="s">
        <v>347</v>
      </c>
      <c r="H72" s="9" t="s">
        <v>371</v>
      </c>
      <c r="I72" s="9" t="s">
        <v>372</v>
      </c>
      <c r="J72" s="9" t="s">
        <v>18</v>
      </c>
      <c r="K72" s="9" t="s">
        <v>19</v>
      </c>
      <c r="L72" s="9" t="s">
        <v>32</v>
      </c>
      <c r="M72" s="9" t="s">
        <v>33</v>
      </c>
      <c r="N72" s="9" t="s">
        <v>22</v>
      </c>
      <c r="O72" s="9">
        <v>33430</v>
      </c>
      <c r="P72" s="9" t="s">
        <v>373</v>
      </c>
      <c r="Q72" s="9">
        <v>33488</v>
      </c>
      <c r="R72" s="9" t="s">
        <v>26</v>
      </c>
      <c r="S72" s="9">
        <v>75</v>
      </c>
      <c r="T72" s="9">
        <v>0</v>
      </c>
      <c r="U72" s="9">
        <v>0</v>
      </c>
      <c r="V72" s="9">
        <v>0</v>
      </c>
      <c r="W72" s="9">
        <v>0</v>
      </c>
      <c r="X72" s="9" t="s">
        <v>374</v>
      </c>
    </row>
    <row r="73" spans="1:24" ht="15.3" x14ac:dyDescent="0.45">
      <c r="A73" s="7">
        <v>73</v>
      </c>
      <c r="B73" s="7" t="s">
        <v>108</v>
      </c>
      <c r="C73" s="7">
        <v>91</v>
      </c>
      <c r="D73" s="7">
        <v>33442</v>
      </c>
      <c r="E73" s="7">
        <v>1602</v>
      </c>
      <c r="F73" s="7" t="s">
        <v>106</v>
      </c>
      <c r="G73" s="7" t="s">
        <v>288</v>
      </c>
      <c r="H73" s="7" t="s">
        <v>375</v>
      </c>
      <c r="I73" s="7" t="s">
        <v>376</v>
      </c>
      <c r="J73" s="7" t="s">
        <v>18</v>
      </c>
      <c r="K73" s="7" t="s">
        <v>19</v>
      </c>
      <c r="L73" s="7" t="s">
        <v>20</v>
      </c>
      <c r="M73" s="9" t="s">
        <v>21</v>
      </c>
      <c r="N73" s="9" t="s">
        <v>22</v>
      </c>
      <c r="O73" s="7">
        <v>33465</v>
      </c>
      <c r="P73" s="7" t="s">
        <v>377</v>
      </c>
      <c r="Q73" s="7">
        <v>33488</v>
      </c>
      <c r="R73" s="7" t="s">
        <v>26</v>
      </c>
      <c r="S73" s="9">
        <v>2.5</v>
      </c>
      <c r="T73" s="9">
        <v>0.75</v>
      </c>
      <c r="U73" s="7">
        <v>190.7</v>
      </c>
      <c r="V73" s="7">
        <v>2.25</v>
      </c>
      <c r="W73" s="7">
        <f>W51-T73</f>
        <v>188.45</v>
      </c>
      <c r="X73" s="7" t="s">
        <v>28</v>
      </c>
    </row>
    <row r="74" spans="1:24" ht="15.3" x14ac:dyDescent="0.45">
      <c r="A74" s="9">
        <v>74</v>
      </c>
      <c r="B74" s="9" t="s">
        <v>102</v>
      </c>
      <c r="C74" s="9">
        <v>91</v>
      </c>
      <c r="D74" s="9">
        <v>33478</v>
      </c>
      <c r="E74" s="9">
        <v>1503</v>
      </c>
      <c r="F74" s="9" t="s">
        <v>104</v>
      </c>
      <c r="G74" s="9" t="s">
        <v>378</v>
      </c>
      <c r="H74" s="9" t="s">
        <v>379</v>
      </c>
      <c r="I74" s="9" t="s">
        <v>380</v>
      </c>
      <c r="J74" s="9" t="s">
        <v>18</v>
      </c>
      <c r="K74" s="9" t="s">
        <v>19</v>
      </c>
      <c r="L74" s="9" t="s">
        <v>20</v>
      </c>
      <c r="M74" s="9" t="s">
        <v>21</v>
      </c>
      <c r="N74" s="9" t="s">
        <v>22</v>
      </c>
      <c r="O74" s="9">
        <v>33482</v>
      </c>
      <c r="P74" s="9" t="s">
        <v>381</v>
      </c>
      <c r="Q74" s="9">
        <v>33488</v>
      </c>
      <c r="R74" s="9" t="s">
        <v>26</v>
      </c>
      <c r="S74" s="9">
        <v>3.3</v>
      </c>
      <c r="T74" s="9">
        <v>1.08</v>
      </c>
      <c r="U74" s="9">
        <v>100</v>
      </c>
      <c r="V74" s="9">
        <v>1.08</v>
      </c>
      <c r="W74" s="9">
        <f>U74-V74</f>
        <v>98.92</v>
      </c>
      <c r="X74" s="9" t="s">
        <v>28</v>
      </c>
    </row>
    <row r="75" spans="1:24" ht="15.3" x14ac:dyDescent="0.45">
      <c r="A75" s="9">
        <v>75</v>
      </c>
      <c r="B75" s="9" t="s">
        <v>102</v>
      </c>
      <c r="C75" s="9">
        <v>91</v>
      </c>
      <c r="D75" s="9" t="s">
        <v>382</v>
      </c>
      <c r="E75" s="9">
        <v>4747</v>
      </c>
      <c r="F75" s="9" t="s">
        <v>106</v>
      </c>
      <c r="G75" s="9" t="s">
        <v>38</v>
      </c>
      <c r="H75" s="9" t="s">
        <v>383</v>
      </c>
      <c r="I75" s="9" t="s">
        <v>384</v>
      </c>
      <c r="J75" s="9" t="s">
        <v>18</v>
      </c>
      <c r="K75" s="9" t="s">
        <v>19</v>
      </c>
      <c r="L75" s="9" t="s">
        <v>20</v>
      </c>
      <c r="M75" s="9" t="s">
        <v>21</v>
      </c>
      <c r="N75" s="9" t="s">
        <v>22</v>
      </c>
      <c r="O75" s="9">
        <v>33482</v>
      </c>
      <c r="P75" s="9" t="s">
        <v>385</v>
      </c>
      <c r="Q75" s="9">
        <v>33488</v>
      </c>
      <c r="R75" s="9" t="s">
        <v>26</v>
      </c>
      <c r="S75" s="9">
        <v>3</v>
      </c>
      <c r="T75" s="9">
        <v>0.9</v>
      </c>
      <c r="U75" s="9">
        <v>126.5</v>
      </c>
      <c r="V75" s="9">
        <v>28.2</v>
      </c>
      <c r="W75" s="9">
        <f>U75-V75</f>
        <v>98.3</v>
      </c>
      <c r="X75" s="9" t="s">
        <v>28</v>
      </c>
    </row>
    <row r="76" spans="1:24" ht="15.3" x14ac:dyDescent="0.45">
      <c r="A76" s="9">
        <v>76</v>
      </c>
      <c r="B76" s="9" t="s">
        <v>153</v>
      </c>
      <c r="C76" s="9">
        <v>91</v>
      </c>
      <c r="D76" s="9">
        <v>33478</v>
      </c>
      <c r="E76" s="9">
        <v>4746</v>
      </c>
      <c r="F76" s="9" t="s">
        <v>106</v>
      </c>
      <c r="G76" s="9" t="s">
        <v>386</v>
      </c>
      <c r="H76" s="9" t="s">
        <v>387</v>
      </c>
      <c r="I76" s="9" t="s">
        <v>388</v>
      </c>
      <c r="J76" s="9" t="s">
        <v>70</v>
      </c>
      <c r="K76" s="9" t="s">
        <v>50</v>
      </c>
      <c r="L76" s="9" t="s">
        <v>20</v>
      </c>
      <c r="M76" s="9" t="s">
        <v>21</v>
      </c>
      <c r="N76" s="9" t="s">
        <v>22</v>
      </c>
      <c r="O76" s="9">
        <v>33455</v>
      </c>
      <c r="P76" s="9" t="s">
        <v>389</v>
      </c>
      <c r="Q76" s="9">
        <v>33488</v>
      </c>
      <c r="R76" s="9" t="s">
        <v>26</v>
      </c>
      <c r="S76" s="9">
        <v>2</v>
      </c>
      <c r="T76" s="18">
        <v>0.6</v>
      </c>
      <c r="U76" s="9">
        <v>200</v>
      </c>
      <c r="V76" s="9">
        <v>102.6</v>
      </c>
      <c r="W76" s="9">
        <f>U76-V76</f>
        <v>97.4</v>
      </c>
      <c r="X76" s="9" t="s">
        <v>28</v>
      </c>
    </row>
    <row r="77" spans="1:24" ht="15.3" x14ac:dyDescent="0.45">
      <c r="A77" s="9">
        <v>77</v>
      </c>
      <c r="B77" s="9" t="s">
        <v>108</v>
      </c>
      <c r="C77" s="9">
        <v>91</v>
      </c>
      <c r="D77" s="9">
        <v>33447</v>
      </c>
      <c r="E77" s="9">
        <v>4746</v>
      </c>
      <c r="F77" s="9" t="s">
        <v>106</v>
      </c>
      <c r="G77" s="9" t="s">
        <v>390</v>
      </c>
      <c r="H77" s="9" t="s">
        <v>391</v>
      </c>
      <c r="I77" s="9" t="s">
        <v>392</v>
      </c>
      <c r="J77" s="9" t="s">
        <v>70</v>
      </c>
      <c r="K77" s="9" t="s">
        <v>50</v>
      </c>
      <c r="L77" s="9" t="s">
        <v>20</v>
      </c>
      <c r="M77" s="9" t="s">
        <v>21</v>
      </c>
      <c r="N77" s="9" t="s">
        <v>22</v>
      </c>
      <c r="O77" s="9">
        <v>33465</v>
      </c>
      <c r="P77" s="9" t="s">
        <v>393</v>
      </c>
      <c r="Q77" s="9">
        <v>33488</v>
      </c>
      <c r="R77" s="9" t="s">
        <v>26</v>
      </c>
      <c r="S77" s="9">
        <v>5</v>
      </c>
      <c r="T77" s="18">
        <v>1.5</v>
      </c>
      <c r="U77" s="9">
        <v>200</v>
      </c>
      <c r="V77" s="9">
        <v>104.1</v>
      </c>
      <c r="W77" s="9">
        <f>U77-V77</f>
        <v>95.9</v>
      </c>
      <c r="X77" s="9" t="s">
        <v>28</v>
      </c>
    </row>
    <row r="78" spans="1:24" ht="15.3" x14ac:dyDescent="0.45">
      <c r="A78" s="9">
        <v>78</v>
      </c>
      <c r="B78" s="9" t="s">
        <v>172</v>
      </c>
      <c r="C78" s="9">
        <v>91</v>
      </c>
      <c r="D78" s="9">
        <v>33457</v>
      </c>
      <c r="E78" s="9">
        <v>4747</v>
      </c>
      <c r="F78" s="9" t="s">
        <v>106</v>
      </c>
      <c r="G78" s="9" t="s">
        <v>394</v>
      </c>
      <c r="H78" s="9" t="s">
        <v>395</v>
      </c>
      <c r="I78" s="9" t="s">
        <v>396</v>
      </c>
      <c r="J78" s="9" t="s">
        <v>18</v>
      </c>
      <c r="K78" s="9" t="s">
        <v>19</v>
      </c>
      <c r="L78" s="9" t="s">
        <v>41</v>
      </c>
      <c r="M78" s="9" t="s">
        <v>21</v>
      </c>
      <c r="N78" s="9" t="s">
        <v>22</v>
      </c>
      <c r="O78" s="9">
        <v>33465</v>
      </c>
      <c r="P78" s="9" t="s">
        <v>397</v>
      </c>
      <c r="Q78" s="9">
        <v>33488</v>
      </c>
      <c r="R78" s="9" t="s">
        <v>26</v>
      </c>
      <c r="S78" s="9">
        <v>6</v>
      </c>
      <c r="T78" s="9">
        <v>1.8</v>
      </c>
      <c r="U78" s="9">
        <v>126.5</v>
      </c>
      <c r="V78" s="9">
        <v>30</v>
      </c>
      <c r="W78" s="9">
        <f>U78-V78</f>
        <v>96.5</v>
      </c>
      <c r="X78" s="9" t="s">
        <v>28</v>
      </c>
    </row>
    <row r="79" spans="1:24" ht="15.3" x14ac:dyDescent="0.45">
      <c r="A79" s="9">
        <v>79</v>
      </c>
      <c r="B79" s="9" t="s">
        <v>172</v>
      </c>
      <c r="C79" s="9">
        <v>91</v>
      </c>
      <c r="D79" s="9">
        <v>33452</v>
      </c>
      <c r="E79" s="9">
        <v>4747</v>
      </c>
      <c r="F79" s="9" t="s">
        <v>106</v>
      </c>
      <c r="G79" s="9" t="s">
        <v>364</v>
      </c>
      <c r="H79" s="9" t="s">
        <v>398</v>
      </c>
      <c r="I79" s="9" t="s">
        <v>399</v>
      </c>
      <c r="J79" s="9" t="s">
        <v>18</v>
      </c>
      <c r="K79" s="9" t="s">
        <v>19</v>
      </c>
      <c r="L79" s="9" t="s">
        <v>357</v>
      </c>
      <c r="M79" s="9" t="s">
        <v>19</v>
      </c>
      <c r="N79" s="9" t="s">
        <v>22</v>
      </c>
      <c r="O79" s="9">
        <v>33465</v>
      </c>
      <c r="P79" s="9" t="s">
        <v>400</v>
      </c>
      <c r="Q79" s="9">
        <v>33488</v>
      </c>
      <c r="R79" s="9" t="s">
        <v>26</v>
      </c>
      <c r="S79" s="9">
        <v>10</v>
      </c>
      <c r="T79" s="9">
        <v>3</v>
      </c>
      <c r="U79" s="9">
        <v>126.5</v>
      </c>
      <c r="V79" s="9">
        <v>33</v>
      </c>
      <c r="W79" s="9">
        <f>U79-V79</f>
        <v>93.5</v>
      </c>
      <c r="X79" s="9" t="s">
        <v>28</v>
      </c>
    </row>
    <row r="80" spans="1:24" ht="15.3" x14ac:dyDescent="0.45">
      <c r="A80" s="9">
        <v>80</v>
      </c>
      <c r="B80" s="9" t="s">
        <v>172</v>
      </c>
      <c r="C80" s="9">
        <v>91</v>
      </c>
      <c r="D80" s="9" t="s">
        <v>401</v>
      </c>
      <c r="E80" s="9">
        <v>4747</v>
      </c>
      <c r="F80" s="9" t="s">
        <v>106</v>
      </c>
      <c r="G80" s="9" t="s">
        <v>402</v>
      </c>
      <c r="H80" s="9" t="s">
        <v>403</v>
      </c>
      <c r="I80" s="9" t="s">
        <v>404</v>
      </c>
      <c r="J80" s="9" t="s">
        <v>18</v>
      </c>
      <c r="K80" s="9" t="s">
        <v>19</v>
      </c>
      <c r="L80" s="9" t="s">
        <v>342</v>
      </c>
      <c r="M80" s="9" t="s">
        <v>19</v>
      </c>
      <c r="N80" s="9" t="s">
        <v>22</v>
      </c>
      <c r="O80" s="9">
        <v>33430</v>
      </c>
      <c r="P80" s="9" t="s">
        <v>405</v>
      </c>
      <c r="Q80" s="9">
        <v>33506</v>
      </c>
      <c r="R80" s="9" t="s">
        <v>26</v>
      </c>
      <c r="S80" s="9">
        <v>10</v>
      </c>
      <c r="T80" s="9">
        <v>3</v>
      </c>
      <c r="U80" s="9">
        <v>126.5</v>
      </c>
      <c r="V80" s="9">
        <v>36</v>
      </c>
      <c r="W80" s="9">
        <f>U80-V80</f>
        <v>90.5</v>
      </c>
      <c r="X80" s="9" t="s">
        <v>28</v>
      </c>
    </row>
    <row r="81" spans="1:24" ht="15.3" x14ac:dyDescent="0.45">
      <c r="A81" s="9">
        <v>81</v>
      </c>
      <c r="B81" s="9" t="s">
        <v>172</v>
      </c>
      <c r="C81" s="9">
        <v>91</v>
      </c>
      <c r="D81" s="9" t="s">
        <v>406</v>
      </c>
      <c r="E81" s="9">
        <v>4747</v>
      </c>
      <c r="F81" s="9" t="s">
        <v>106</v>
      </c>
      <c r="G81" s="9" t="s">
        <v>407</v>
      </c>
      <c r="H81" s="9" t="s">
        <v>408</v>
      </c>
      <c r="I81" s="9" t="s">
        <v>409</v>
      </c>
      <c r="J81" s="9" t="s">
        <v>18</v>
      </c>
      <c r="K81" s="9" t="s">
        <v>19</v>
      </c>
      <c r="L81" s="9" t="s">
        <v>342</v>
      </c>
      <c r="M81" s="9" t="s">
        <v>19</v>
      </c>
      <c r="N81" s="9" t="s">
        <v>22</v>
      </c>
      <c r="O81" s="9" t="s">
        <v>63</v>
      </c>
      <c r="P81" s="9" t="s">
        <v>410</v>
      </c>
      <c r="Q81" s="9">
        <v>33506</v>
      </c>
      <c r="R81" s="9" t="s">
        <v>26</v>
      </c>
      <c r="S81" s="9">
        <v>10</v>
      </c>
      <c r="T81" s="9">
        <v>3</v>
      </c>
      <c r="U81" s="9">
        <v>126.5</v>
      </c>
      <c r="V81" s="9">
        <v>39</v>
      </c>
      <c r="W81" s="9">
        <f>W80-T81</f>
        <v>87.5</v>
      </c>
      <c r="X81" s="9" t="s">
        <v>28</v>
      </c>
    </row>
    <row r="82" spans="1:24" ht="15.3" x14ac:dyDescent="0.45">
      <c r="A82" s="9">
        <v>82</v>
      </c>
      <c r="B82" s="9" t="s">
        <v>172</v>
      </c>
      <c r="C82" s="9">
        <v>91</v>
      </c>
      <c r="D82" s="9" t="s">
        <v>411</v>
      </c>
      <c r="E82" s="9">
        <v>4701</v>
      </c>
      <c r="F82" s="9" t="s">
        <v>104</v>
      </c>
      <c r="G82" s="9" t="s">
        <v>412</v>
      </c>
      <c r="H82" s="9" t="s">
        <v>351</v>
      </c>
      <c r="I82" s="9" t="s">
        <v>413</v>
      </c>
      <c r="J82" s="9" t="s">
        <v>18</v>
      </c>
      <c r="K82" s="9" t="s">
        <v>58</v>
      </c>
      <c r="L82" s="9" t="s">
        <v>58</v>
      </c>
      <c r="M82" s="9" t="s">
        <v>58</v>
      </c>
      <c r="N82" s="9" t="s">
        <v>22</v>
      </c>
      <c r="O82" s="9" t="s">
        <v>63</v>
      </c>
      <c r="P82" s="9" t="s">
        <v>414</v>
      </c>
      <c r="Q82" s="9" t="s">
        <v>415</v>
      </c>
      <c r="R82" s="9" t="s">
        <v>92</v>
      </c>
      <c r="S82" s="9">
        <v>2</v>
      </c>
      <c r="T82" s="18">
        <v>30</v>
      </c>
      <c r="U82" s="9">
        <v>2300</v>
      </c>
      <c r="V82" s="9">
        <v>387</v>
      </c>
      <c r="W82" s="9">
        <f>U82-V82</f>
        <v>1913</v>
      </c>
      <c r="X82" s="9" t="s">
        <v>28</v>
      </c>
    </row>
    <row r="83" spans="1:24" ht="15.3" x14ac:dyDescent="0.45">
      <c r="A83" s="9">
        <v>83</v>
      </c>
      <c r="B83" s="9" t="s">
        <v>172</v>
      </c>
      <c r="C83" s="9">
        <v>91</v>
      </c>
      <c r="D83" s="9" t="s">
        <v>65</v>
      </c>
      <c r="E83" s="9">
        <v>4747</v>
      </c>
      <c r="F83" s="9" t="s">
        <v>106</v>
      </c>
      <c r="G83" s="9" t="s">
        <v>416</v>
      </c>
      <c r="H83" s="9" t="s">
        <v>417</v>
      </c>
      <c r="I83" s="9" t="s">
        <v>418</v>
      </c>
      <c r="J83" s="9" t="s">
        <v>18</v>
      </c>
      <c r="K83" s="9" t="s">
        <v>19</v>
      </c>
      <c r="L83" s="9" t="s">
        <v>41</v>
      </c>
      <c r="M83" s="9" t="s">
        <v>21</v>
      </c>
      <c r="N83" s="9" t="s">
        <v>22</v>
      </c>
      <c r="O83" s="9" t="s">
        <v>419</v>
      </c>
      <c r="P83" s="9" t="s">
        <v>420</v>
      </c>
      <c r="Q83" s="9" t="s">
        <v>415</v>
      </c>
      <c r="R83" s="9" t="s">
        <v>26</v>
      </c>
      <c r="S83" s="9">
        <v>5</v>
      </c>
      <c r="T83" s="9">
        <v>1.5</v>
      </c>
      <c r="U83" s="9">
        <v>126.5</v>
      </c>
      <c r="V83" s="9">
        <v>40.5</v>
      </c>
      <c r="W83" s="9">
        <f>W81-T83</f>
        <v>86</v>
      </c>
      <c r="X83" s="9" t="s">
        <v>28</v>
      </c>
    </row>
    <row r="84" spans="1:24" ht="15.3" x14ac:dyDescent="0.45">
      <c r="A84" s="9">
        <v>84</v>
      </c>
      <c r="B84" s="9" t="s">
        <v>108</v>
      </c>
      <c r="C84" s="9">
        <v>91</v>
      </c>
      <c r="D84" s="9" t="s">
        <v>421</v>
      </c>
      <c r="E84" s="9">
        <v>1602</v>
      </c>
      <c r="F84" s="9" t="s">
        <v>106</v>
      </c>
      <c r="G84" s="9" t="s">
        <v>422</v>
      </c>
      <c r="H84" s="9" t="s">
        <v>423</v>
      </c>
      <c r="I84" s="9" t="s">
        <v>424</v>
      </c>
      <c r="J84" s="9" t="s">
        <v>18</v>
      </c>
      <c r="K84" s="9" t="s">
        <v>19</v>
      </c>
      <c r="L84" s="9" t="s">
        <v>20</v>
      </c>
      <c r="M84" s="9" t="s">
        <v>21</v>
      </c>
      <c r="N84" s="9" t="s">
        <v>22</v>
      </c>
      <c r="O84" s="9" t="s">
        <v>421</v>
      </c>
      <c r="P84" s="9" t="s">
        <v>425</v>
      </c>
      <c r="Q84" s="9" t="s">
        <v>415</v>
      </c>
      <c r="R84" s="9" t="s">
        <v>26</v>
      </c>
      <c r="S84" s="9">
        <v>3</v>
      </c>
      <c r="T84" s="9">
        <v>0.9</v>
      </c>
      <c r="U84" s="9">
        <v>190.7</v>
      </c>
      <c r="V84" s="9">
        <v>3.15</v>
      </c>
      <c r="W84" s="9">
        <f>W73-T84</f>
        <v>187.54999999999998</v>
      </c>
      <c r="X84" s="9" t="s">
        <v>28</v>
      </c>
    </row>
    <row r="85" spans="1:24" ht="15.3" x14ac:dyDescent="0.45">
      <c r="A85" s="9">
        <v>85</v>
      </c>
      <c r="B85" s="9" t="s">
        <v>102</v>
      </c>
      <c r="C85" s="9">
        <v>91</v>
      </c>
      <c r="D85" s="9" t="s">
        <v>421</v>
      </c>
      <c r="E85" s="9">
        <v>1503</v>
      </c>
      <c r="F85" s="9" t="s">
        <v>104</v>
      </c>
      <c r="G85" s="9" t="s">
        <v>426</v>
      </c>
      <c r="H85" s="9" t="s">
        <v>427</v>
      </c>
      <c r="I85" s="9" t="s">
        <v>428</v>
      </c>
      <c r="J85" s="9" t="s">
        <v>18</v>
      </c>
      <c r="K85" s="9" t="s">
        <v>19</v>
      </c>
      <c r="L85" s="9" t="s">
        <v>429</v>
      </c>
      <c r="M85" s="9" t="s">
        <v>33</v>
      </c>
      <c r="N85" s="9" t="s">
        <v>22</v>
      </c>
      <c r="O85" s="9">
        <v>33495</v>
      </c>
      <c r="P85" s="9" t="s">
        <v>430</v>
      </c>
      <c r="Q85" s="9" t="s">
        <v>415</v>
      </c>
      <c r="R85" s="9" t="s">
        <v>26</v>
      </c>
      <c r="S85" s="9">
        <v>2</v>
      </c>
      <c r="T85" s="9">
        <v>0.6</v>
      </c>
      <c r="U85" s="9">
        <v>100</v>
      </c>
      <c r="V85" s="9">
        <v>1.68</v>
      </c>
      <c r="W85" s="9">
        <f>U85-V85</f>
        <v>98.32</v>
      </c>
      <c r="X85" s="9" t="s">
        <v>28</v>
      </c>
    </row>
    <row r="86" spans="1:24" ht="15.3" x14ac:dyDescent="0.45">
      <c r="A86" s="9">
        <v>86</v>
      </c>
      <c r="B86" s="9" t="s">
        <v>172</v>
      </c>
      <c r="C86" s="9">
        <v>91</v>
      </c>
      <c r="D86" s="9" t="s">
        <v>431</v>
      </c>
      <c r="E86" s="9">
        <v>4747</v>
      </c>
      <c r="F86" s="9" t="s">
        <v>106</v>
      </c>
      <c r="G86" s="9" t="s">
        <v>364</v>
      </c>
      <c r="H86" s="9" t="s">
        <v>432</v>
      </c>
      <c r="I86" s="9" t="s">
        <v>433</v>
      </c>
      <c r="J86" s="9" t="s">
        <v>18</v>
      </c>
      <c r="K86" s="9" t="s">
        <v>19</v>
      </c>
      <c r="L86" s="9" t="s">
        <v>52</v>
      </c>
      <c r="M86" s="9" t="s">
        <v>33</v>
      </c>
      <c r="N86" s="9" t="s">
        <v>22</v>
      </c>
      <c r="O86" s="9" t="s">
        <v>434</v>
      </c>
      <c r="P86" s="9" t="s">
        <v>435</v>
      </c>
      <c r="Q86" s="9" t="s">
        <v>415</v>
      </c>
      <c r="R86" s="9" t="s">
        <v>26</v>
      </c>
      <c r="S86" s="9">
        <v>10</v>
      </c>
      <c r="T86" s="9">
        <v>3</v>
      </c>
      <c r="U86" s="9">
        <v>126.5</v>
      </c>
      <c r="V86" s="9">
        <v>43.5</v>
      </c>
      <c r="W86" s="9">
        <f>W83-T86</f>
        <v>83</v>
      </c>
      <c r="X86" s="9" t="s">
        <v>28</v>
      </c>
    </row>
    <row r="87" spans="1:24" ht="15.3" x14ac:dyDescent="0.45">
      <c r="A87" s="9">
        <v>87</v>
      </c>
      <c r="B87" s="9" t="s">
        <v>108</v>
      </c>
      <c r="C87" s="9">
        <v>91</v>
      </c>
      <c r="D87" s="9" t="s">
        <v>436</v>
      </c>
      <c r="E87" s="9">
        <v>4749</v>
      </c>
      <c r="F87" s="9" t="s">
        <v>106</v>
      </c>
      <c r="G87" s="9" t="s">
        <v>437</v>
      </c>
      <c r="H87" s="9" t="s">
        <v>438</v>
      </c>
      <c r="I87" s="9" t="s">
        <v>439</v>
      </c>
      <c r="J87" s="9" t="s">
        <v>70</v>
      </c>
      <c r="K87" s="9" t="s">
        <v>50</v>
      </c>
      <c r="L87" s="9" t="s">
        <v>20</v>
      </c>
      <c r="M87" s="9" t="s">
        <v>21</v>
      </c>
      <c r="N87" s="9" t="s">
        <v>22</v>
      </c>
      <c r="O87" s="9" t="s">
        <v>436</v>
      </c>
      <c r="P87" s="9" t="s">
        <v>440</v>
      </c>
      <c r="Q87" s="9" t="s">
        <v>441</v>
      </c>
      <c r="R87" s="9" t="s">
        <v>26</v>
      </c>
      <c r="S87" s="9">
        <v>10</v>
      </c>
      <c r="T87" s="18">
        <v>3</v>
      </c>
      <c r="U87" s="9">
        <v>500</v>
      </c>
      <c r="V87" s="9">
        <v>203</v>
      </c>
      <c r="W87" s="9">
        <v>297</v>
      </c>
      <c r="X87" s="9" t="s">
        <v>28</v>
      </c>
    </row>
    <row r="88" spans="1:24" ht="15.3" x14ac:dyDescent="0.45">
      <c r="A88" s="9">
        <v>88</v>
      </c>
      <c r="B88" s="9" t="s">
        <v>111</v>
      </c>
      <c r="C88" s="9">
        <v>91</v>
      </c>
      <c r="D88" s="9" t="s">
        <v>442</v>
      </c>
      <c r="E88" s="9">
        <v>4704</v>
      </c>
      <c r="F88" s="9" t="s">
        <v>106</v>
      </c>
      <c r="G88" s="9" t="s">
        <v>229</v>
      </c>
      <c r="H88" s="9" t="s">
        <v>443</v>
      </c>
      <c r="I88" s="9" t="s">
        <v>444</v>
      </c>
      <c r="J88" s="9" t="s">
        <v>70</v>
      </c>
      <c r="K88" s="9" t="s">
        <v>50</v>
      </c>
      <c r="L88" s="9" t="s">
        <v>20</v>
      </c>
      <c r="M88" s="9" t="s">
        <v>21</v>
      </c>
      <c r="N88" s="9" t="s">
        <v>22</v>
      </c>
      <c r="O88" s="9" t="s">
        <v>445</v>
      </c>
      <c r="P88" s="9" t="s">
        <v>446</v>
      </c>
      <c r="Q88" s="9" t="s">
        <v>447</v>
      </c>
      <c r="R88" s="9" t="s">
        <v>26</v>
      </c>
      <c r="S88" s="9">
        <v>1</v>
      </c>
      <c r="T88" s="18">
        <v>0.36</v>
      </c>
      <c r="U88" s="9">
        <v>500</v>
      </c>
      <c r="V88" s="9">
        <v>12.51</v>
      </c>
      <c r="W88" s="9">
        <f>U88-V88</f>
        <v>487.49</v>
      </c>
      <c r="X88" s="9" t="s">
        <v>28</v>
      </c>
    </row>
    <row r="89" spans="1:24" ht="15.3" x14ac:dyDescent="0.45">
      <c r="A89" s="9">
        <v>89</v>
      </c>
      <c r="B89" s="9" t="s">
        <v>172</v>
      </c>
      <c r="C89" s="9">
        <v>91</v>
      </c>
      <c r="D89" s="9" t="s">
        <v>448</v>
      </c>
      <c r="E89" s="9">
        <v>4747</v>
      </c>
      <c r="F89" s="9" t="s">
        <v>106</v>
      </c>
      <c r="G89" s="9" t="s">
        <v>449</v>
      </c>
      <c r="H89" s="9" t="s">
        <v>494</v>
      </c>
      <c r="I89" s="9" t="s">
        <v>450</v>
      </c>
      <c r="J89" s="9" t="s">
        <v>18</v>
      </c>
      <c r="K89" s="9" t="s">
        <v>19</v>
      </c>
      <c r="L89" s="9" t="s">
        <v>41</v>
      </c>
      <c r="M89" s="9" t="s">
        <v>21</v>
      </c>
      <c r="N89" s="9" t="s">
        <v>22</v>
      </c>
      <c r="O89" s="9" t="s">
        <v>451</v>
      </c>
      <c r="P89" s="9" t="s">
        <v>452</v>
      </c>
      <c r="Q89" s="9" t="s">
        <v>453</v>
      </c>
      <c r="R89" s="9" t="s">
        <v>26</v>
      </c>
      <c r="S89" s="9">
        <v>6</v>
      </c>
      <c r="T89" s="9">
        <v>1.8</v>
      </c>
      <c r="U89" s="9">
        <v>126.5</v>
      </c>
      <c r="V89" s="9">
        <v>45.3</v>
      </c>
      <c r="W89" s="9">
        <f>U89-V89</f>
        <v>81.2</v>
      </c>
      <c r="X89" s="9" t="s">
        <v>28</v>
      </c>
    </row>
    <row r="90" spans="1:24" ht="15.3" x14ac:dyDescent="0.45">
      <c r="A90" s="9">
        <v>90</v>
      </c>
      <c r="B90" s="9" t="s">
        <v>172</v>
      </c>
      <c r="C90" s="9">
        <v>91</v>
      </c>
      <c r="D90" s="9" t="s">
        <v>415</v>
      </c>
      <c r="E90" s="9">
        <v>4747</v>
      </c>
      <c r="F90" s="9" t="s">
        <v>106</v>
      </c>
      <c r="G90" s="9" t="s">
        <v>454</v>
      </c>
      <c r="H90" s="9" t="s">
        <v>455</v>
      </c>
      <c r="I90" s="9" t="s">
        <v>456</v>
      </c>
      <c r="J90" s="9" t="s">
        <v>18</v>
      </c>
      <c r="K90" s="9" t="s">
        <v>19</v>
      </c>
      <c r="L90" s="9" t="s">
        <v>457</v>
      </c>
      <c r="M90" s="9" t="s">
        <v>19</v>
      </c>
      <c r="N90" s="9" t="s">
        <v>22</v>
      </c>
      <c r="O90" s="9" t="s">
        <v>445</v>
      </c>
      <c r="P90" s="9" t="s">
        <v>458</v>
      </c>
      <c r="Q90" s="9" t="s">
        <v>459</v>
      </c>
      <c r="R90" s="9" t="s">
        <v>26</v>
      </c>
      <c r="S90" s="9">
        <v>5</v>
      </c>
      <c r="T90" s="9">
        <v>1.5</v>
      </c>
      <c r="U90" s="9">
        <v>126.5</v>
      </c>
      <c r="V90" s="9">
        <v>46.8</v>
      </c>
      <c r="W90" s="9">
        <f>U90-V90</f>
        <v>79.7</v>
      </c>
      <c r="X90" s="9" t="s">
        <v>28</v>
      </c>
    </row>
    <row r="91" spans="1:24" ht="15.3" x14ac:dyDescent="0.45">
      <c r="A91" s="9">
        <v>91</v>
      </c>
      <c r="B91" s="9" t="s">
        <v>172</v>
      </c>
      <c r="C91" s="9">
        <v>91</v>
      </c>
      <c r="D91" s="9" t="s">
        <v>442</v>
      </c>
      <c r="E91" s="9">
        <v>4701</v>
      </c>
      <c r="F91" s="9" t="s">
        <v>104</v>
      </c>
      <c r="G91" s="9" t="s">
        <v>191</v>
      </c>
      <c r="H91" s="9" t="s">
        <v>460</v>
      </c>
      <c r="I91" s="9" t="s">
        <v>461</v>
      </c>
      <c r="J91" s="9" t="s">
        <v>18</v>
      </c>
      <c r="K91" s="9" t="s">
        <v>58</v>
      </c>
      <c r="L91" s="9" t="s">
        <v>58</v>
      </c>
      <c r="M91" s="9" t="s">
        <v>58</v>
      </c>
      <c r="N91" s="9" t="s">
        <v>22</v>
      </c>
      <c r="O91" s="9" t="s">
        <v>445</v>
      </c>
      <c r="P91" s="9" t="s">
        <v>462</v>
      </c>
      <c r="Q91" s="9" t="s">
        <v>459</v>
      </c>
      <c r="R91" s="9" t="s">
        <v>92</v>
      </c>
      <c r="S91" s="9">
        <v>5</v>
      </c>
      <c r="T91" s="18">
        <v>76</v>
      </c>
      <c r="U91" s="9">
        <v>2300</v>
      </c>
      <c r="V91" s="9">
        <v>463</v>
      </c>
      <c r="W91" s="9">
        <f>U91-V91</f>
        <v>1837</v>
      </c>
      <c r="X91" s="9" t="s">
        <v>28</v>
      </c>
    </row>
    <row r="92" spans="1:24" ht="15.3" x14ac:dyDescent="0.45">
      <c r="A92" s="9">
        <v>92</v>
      </c>
      <c r="B92" s="9" t="s">
        <v>105</v>
      </c>
      <c r="C92" s="9">
        <v>91</v>
      </c>
      <c r="D92" s="9" t="s">
        <v>463</v>
      </c>
      <c r="E92" s="9">
        <v>4705</v>
      </c>
      <c r="F92" s="9" t="s">
        <v>106</v>
      </c>
      <c r="G92" s="9" t="s">
        <v>464</v>
      </c>
      <c r="H92" s="9" t="s">
        <v>495</v>
      </c>
      <c r="I92" s="9" t="s">
        <v>465</v>
      </c>
      <c r="J92" s="9" t="s">
        <v>18</v>
      </c>
      <c r="K92" s="9" t="s">
        <v>19</v>
      </c>
      <c r="L92" s="9" t="s">
        <v>272</v>
      </c>
      <c r="M92" s="9" t="s">
        <v>19</v>
      </c>
      <c r="N92" s="9" t="s">
        <v>22</v>
      </c>
      <c r="O92" s="9" t="s">
        <v>466</v>
      </c>
      <c r="P92" s="9" t="s">
        <v>467</v>
      </c>
      <c r="Q92" s="9" t="s">
        <v>459</v>
      </c>
      <c r="R92" s="9" t="s">
        <v>26</v>
      </c>
      <c r="S92" s="9">
        <v>10</v>
      </c>
      <c r="T92" s="9">
        <v>3</v>
      </c>
      <c r="U92" s="9">
        <v>31.3</v>
      </c>
      <c r="V92" s="9">
        <v>15</v>
      </c>
      <c r="W92" s="9">
        <f>U92-V92</f>
        <v>16.3</v>
      </c>
      <c r="X92" s="9" t="s">
        <v>28</v>
      </c>
    </row>
    <row r="93" spans="1:24" ht="15.3" x14ac:dyDescent="0.45">
      <c r="A93" s="9">
        <v>93</v>
      </c>
      <c r="B93" s="9" t="s">
        <v>108</v>
      </c>
      <c r="C93" s="9">
        <v>91</v>
      </c>
      <c r="D93" s="9" t="s">
        <v>436</v>
      </c>
      <c r="E93" s="9">
        <v>4750</v>
      </c>
      <c r="F93" s="9" t="s">
        <v>106</v>
      </c>
      <c r="G93" s="9" t="s">
        <v>468</v>
      </c>
      <c r="H93" s="9" t="s">
        <v>496</v>
      </c>
      <c r="I93" s="9" t="s">
        <v>469</v>
      </c>
      <c r="J93" s="9" t="s">
        <v>18</v>
      </c>
      <c r="K93" s="9" t="s">
        <v>19</v>
      </c>
      <c r="L93" s="9" t="s">
        <v>20</v>
      </c>
      <c r="M93" s="9" t="s">
        <v>21</v>
      </c>
      <c r="N93" s="9" t="s">
        <v>22</v>
      </c>
      <c r="O93" s="9" t="s">
        <v>445</v>
      </c>
      <c r="P93" s="9" t="s">
        <v>470</v>
      </c>
      <c r="Q93" s="9" t="s">
        <v>471</v>
      </c>
      <c r="R93" s="9" t="s">
        <v>26</v>
      </c>
      <c r="S93" s="9">
        <v>3.3</v>
      </c>
      <c r="T93" s="9">
        <v>0.99</v>
      </c>
      <c r="U93" s="9">
        <v>33.5</v>
      </c>
      <c r="V93" s="9">
        <v>25.69</v>
      </c>
      <c r="W93" s="9">
        <f>U93-V93</f>
        <v>7.8099999999999987</v>
      </c>
      <c r="X93" s="9" t="s">
        <v>28</v>
      </c>
    </row>
    <row r="94" spans="1:24" ht="15.3" x14ac:dyDescent="0.45">
      <c r="A94" s="9">
        <v>94</v>
      </c>
      <c r="B94" s="9" t="s">
        <v>102</v>
      </c>
      <c r="C94" s="9">
        <v>91</v>
      </c>
      <c r="D94" s="9" t="s">
        <v>472</v>
      </c>
      <c r="E94" s="9">
        <v>1502</v>
      </c>
      <c r="F94" s="9" t="s">
        <v>104</v>
      </c>
      <c r="G94" s="9" t="s">
        <v>134</v>
      </c>
      <c r="H94" s="9" t="s">
        <v>497</v>
      </c>
      <c r="I94" s="9" t="s">
        <v>473</v>
      </c>
      <c r="J94" s="9" t="s">
        <v>18</v>
      </c>
      <c r="K94" s="9" t="s">
        <v>19</v>
      </c>
      <c r="L94" s="9" t="s">
        <v>474</v>
      </c>
      <c r="M94" s="9" t="s">
        <v>21</v>
      </c>
      <c r="N94" s="9" t="s">
        <v>22</v>
      </c>
      <c r="O94" s="9" t="s">
        <v>445</v>
      </c>
      <c r="P94" s="9" t="s">
        <v>475</v>
      </c>
      <c r="Q94" s="9" t="s">
        <v>471</v>
      </c>
      <c r="R94" s="9" t="s">
        <v>26</v>
      </c>
      <c r="S94" s="9">
        <v>16</v>
      </c>
      <c r="T94" s="9">
        <v>4.8</v>
      </c>
      <c r="U94" s="9">
        <v>100</v>
      </c>
      <c r="V94" s="9">
        <v>17.7</v>
      </c>
      <c r="W94" s="9">
        <f>U94-V94</f>
        <v>82.3</v>
      </c>
      <c r="X94" s="9" t="s">
        <v>28</v>
      </c>
    </row>
    <row r="95" spans="1:24" ht="15.3" x14ac:dyDescent="0.45">
      <c r="A95" s="9">
        <v>95</v>
      </c>
      <c r="B95" s="9" t="s">
        <v>105</v>
      </c>
      <c r="C95" s="9">
        <v>91</v>
      </c>
      <c r="D95" s="9" t="s">
        <v>476</v>
      </c>
      <c r="E95" s="9">
        <v>4705</v>
      </c>
      <c r="F95" s="9" t="s">
        <v>106</v>
      </c>
      <c r="G95" s="9" t="s">
        <v>477</v>
      </c>
      <c r="H95" s="9" t="s">
        <v>498</v>
      </c>
      <c r="I95" s="9" t="s">
        <v>478</v>
      </c>
      <c r="J95" s="9" t="s">
        <v>18</v>
      </c>
      <c r="K95" s="9" t="s">
        <v>19</v>
      </c>
      <c r="L95" s="9" t="s">
        <v>479</v>
      </c>
      <c r="M95" s="9" t="s">
        <v>21</v>
      </c>
      <c r="N95" s="9" t="s">
        <v>22</v>
      </c>
      <c r="O95" s="9" t="s">
        <v>445</v>
      </c>
      <c r="P95" s="9" t="s">
        <v>480</v>
      </c>
      <c r="Q95" s="9" t="s">
        <v>471</v>
      </c>
      <c r="R95" s="9" t="s">
        <v>26</v>
      </c>
      <c r="S95" s="9">
        <v>5.5</v>
      </c>
      <c r="T95" s="9">
        <v>0.66</v>
      </c>
      <c r="U95" s="9">
        <v>31.3</v>
      </c>
      <c r="V95" s="9">
        <v>15.66</v>
      </c>
      <c r="W95" s="9">
        <f>U95-V95</f>
        <v>15.64</v>
      </c>
      <c r="X95" s="9" t="s">
        <v>28</v>
      </c>
    </row>
    <row r="96" spans="1:24" ht="15.3" x14ac:dyDescent="0.45">
      <c r="A96" s="9">
        <v>96</v>
      </c>
      <c r="B96" s="9" t="s">
        <v>108</v>
      </c>
      <c r="C96" s="9">
        <v>91</v>
      </c>
      <c r="D96" s="9" t="s">
        <v>476</v>
      </c>
      <c r="E96" s="9">
        <v>4748</v>
      </c>
      <c r="F96" s="9" t="s">
        <v>104</v>
      </c>
      <c r="G96" s="9" t="s">
        <v>481</v>
      </c>
      <c r="H96" s="9" t="s">
        <v>499</v>
      </c>
      <c r="I96" s="9" t="s">
        <v>482</v>
      </c>
      <c r="J96" s="9" t="s">
        <v>18</v>
      </c>
      <c r="K96" s="9" t="s">
        <v>19</v>
      </c>
      <c r="L96" s="9" t="s">
        <v>20</v>
      </c>
      <c r="M96" s="9" t="s">
        <v>21</v>
      </c>
      <c r="N96" s="9" t="s">
        <v>22</v>
      </c>
      <c r="O96" s="9" t="s">
        <v>445</v>
      </c>
      <c r="P96" s="9" t="s">
        <v>483</v>
      </c>
      <c r="Q96" s="9" t="s">
        <v>471</v>
      </c>
      <c r="R96" s="9" t="s">
        <v>26</v>
      </c>
      <c r="S96" s="9">
        <v>25</v>
      </c>
      <c r="T96" s="9">
        <v>7.5</v>
      </c>
      <c r="U96" s="9">
        <v>35.1</v>
      </c>
      <c r="V96" s="9">
        <v>12</v>
      </c>
      <c r="W96" s="9">
        <f>U96-V96</f>
        <v>23.1</v>
      </c>
      <c r="X96" s="9" t="s">
        <v>28</v>
      </c>
    </row>
    <row r="97" spans="1:24" ht="15.3" x14ac:dyDescent="0.45">
      <c r="A97" s="9">
        <v>97</v>
      </c>
      <c r="B97" s="9" t="s">
        <v>172</v>
      </c>
      <c r="C97" s="9">
        <v>91</v>
      </c>
      <c r="D97" s="9" t="s">
        <v>459</v>
      </c>
      <c r="E97" s="9">
        <v>4747</v>
      </c>
      <c r="F97" s="9" t="s">
        <v>106</v>
      </c>
      <c r="G97" s="9" t="s">
        <v>313</v>
      </c>
      <c r="H97" s="9" t="s">
        <v>500</v>
      </c>
      <c r="I97" s="9" t="s">
        <v>484</v>
      </c>
      <c r="J97" s="9" t="s">
        <v>18</v>
      </c>
      <c r="K97" s="9" t="s">
        <v>19</v>
      </c>
      <c r="L97" s="9" t="s">
        <v>41</v>
      </c>
      <c r="M97" s="9" t="s">
        <v>21</v>
      </c>
      <c r="N97" s="9" t="s">
        <v>22</v>
      </c>
      <c r="O97" s="9" t="s">
        <v>485</v>
      </c>
      <c r="P97" s="9" t="s">
        <v>486</v>
      </c>
      <c r="Q97" s="9" t="s">
        <v>471</v>
      </c>
      <c r="R97" s="9" t="s">
        <v>26</v>
      </c>
      <c r="S97" s="9">
        <v>6</v>
      </c>
      <c r="T97" s="9">
        <v>1.8</v>
      </c>
      <c r="U97" s="9">
        <v>126.5</v>
      </c>
      <c r="V97" s="9">
        <v>48.6</v>
      </c>
      <c r="W97" s="9">
        <f>U97-V97</f>
        <v>77.900000000000006</v>
      </c>
      <c r="X97" s="9" t="s">
        <v>28</v>
      </c>
    </row>
    <row r="98" spans="1:24" ht="15.3" x14ac:dyDescent="0.45">
      <c r="A98" s="9">
        <v>98</v>
      </c>
      <c r="B98" s="9" t="s">
        <v>108</v>
      </c>
      <c r="C98" s="9">
        <v>91</v>
      </c>
      <c r="D98" s="9" t="s">
        <v>459</v>
      </c>
      <c r="E98" s="9">
        <v>4732</v>
      </c>
      <c r="F98" s="9" t="s">
        <v>106</v>
      </c>
      <c r="G98" s="9" t="s">
        <v>236</v>
      </c>
      <c r="H98" s="9" t="s">
        <v>501</v>
      </c>
      <c r="I98" s="9" t="s">
        <v>487</v>
      </c>
      <c r="J98" s="9" t="s">
        <v>70</v>
      </c>
      <c r="K98" s="9" t="s">
        <v>50</v>
      </c>
      <c r="L98" s="9" t="s">
        <v>41</v>
      </c>
      <c r="M98" s="9" t="s">
        <v>21</v>
      </c>
      <c r="N98" s="9" t="s">
        <v>22</v>
      </c>
      <c r="O98" s="9" t="s">
        <v>485</v>
      </c>
      <c r="P98" s="9" t="s">
        <v>488</v>
      </c>
      <c r="Q98" s="9" t="s">
        <v>471</v>
      </c>
      <c r="R98" s="9" t="s">
        <v>26</v>
      </c>
      <c r="S98" s="9">
        <v>3</v>
      </c>
      <c r="T98" s="7">
        <v>0.9</v>
      </c>
      <c r="U98" s="9">
        <v>100</v>
      </c>
      <c r="V98" s="9">
        <v>9</v>
      </c>
      <c r="W98" s="9">
        <f>U98-V98</f>
        <v>91</v>
      </c>
      <c r="X98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 Taheri</cp:lastModifiedBy>
  <dcterms:created xsi:type="dcterms:W3CDTF">2015-06-05T18:17:20Z</dcterms:created>
  <dcterms:modified xsi:type="dcterms:W3CDTF">2025-11-13T07:14:19Z</dcterms:modified>
</cp:coreProperties>
</file>